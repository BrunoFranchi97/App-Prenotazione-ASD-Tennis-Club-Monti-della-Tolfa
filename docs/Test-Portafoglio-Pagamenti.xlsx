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ggimi" state="visible" r:id="rId4"/>
    <sheet sheetId="2" name="Socio" state="visible" r:id="rId5"/>
    <sheet sheetId="3" name="Admin" state="visible" r:id="rId6"/>
    <sheet sheetId="4" name="Riepilogo" state="visible" r:id="rId7"/>
  </sheets>
  <definedNames>
    <definedName name="_xlnm.Print_Titles" localSheetId="1">'Socio'!$5:$5</definedName>
    <definedName name="_xlnm.Print_Titles" localSheetId="2">'Admin'!$5:$5</definedName>
  </definedNames>
  <calcPr calcId="171027"/>
</workbook>
</file>

<file path=xl/sharedStrings.xml><?xml version="1.0" encoding="utf-8"?>
<sst xmlns="http://schemas.openxmlformats.org/spreadsheetml/2006/main" count="619" uniqueCount="415">
  <si>
    <t>Test del Portafoglio e dei pagamenti in app — Canepacce</t>
  </si>
  <si>
    <t>ASD Tennis Club Monti della Tolfa · App Prenotazioni Canepacce · versione di prova con portafoglio e pagamenti</t>
  </si>
  <si>
    <t>Cos'è questo file</t>
  </si>
  <si>
    <t>A cosa serve</t>
  </si>
  <si>
    <t>L'app ora ha un portafoglio: ogni socio carica del credito (con carta o in contanti al circolo) e quando prenota un campo la sua quota viene scalata in automatico. Questo file elenca tutto quello che va provato prima di accendere la novità per tutti i soci.</t>
  </si>
  <si>
    <t>Com'è diviso</t>
  </si>
  <si>
    <t xml:space="preserve">• "Socio": le prove da fare con un account da socio normale.
• "Admin": le prove da fare con un account amministratore.
• "Riepilogo": si compila da solo e conta quante prove sono andate bene o male.
In fondo a questa pagina c'è la parte "Prima di iniziare" per chi prepara l'ambiente di prova.</t>
  </si>
  <si>
    <t>Chi lo compila</t>
  </si>
  <si>
    <t>Prima Tester 1 (Bruno), poi Tester 2 (membro del direttivo). Ognuno ha le sue colonne "Esito" e "Note": non serve cancellare quello che ha scritto l'altro. Scrivi il tuo nome nella riga gialla "Tester 1" / "Tester 2" in alto in ogni scheda.</t>
  </si>
  <si>
    <t>Come si compila (passo passo)</t>
  </si>
  <si>
    <t>1. Leggi la riga</t>
  </si>
  <si>
    <t>Colonna "Cosa fare (passo passo)": sono le azioni da fare nell'app, in ordine. Colonna "Con quale account": con chi devi essere collegato.</t>
  </si>
  <si>
    <t>2. Fai le azioni</t>
  </si>
  <si>
    <t>Esegui i passi nell'app di prova. Non serve essere veloci e non si rompe nulla: è tutto finto.</t>
  </si>
  <si>
    <t>3. Confronta</t>
  </si>
  <si>
    <t>Colonna "Cosa deve succedere": è il comportamento giusto. Controlla anche le parole e i colori descritti.</t>
  </si>
  <si>
    <t>4. Scegli l'esito</t>
  </si>
  <si>
    <t xml:space="preserve">Clicca sulla cella "Esito" della tua colonna: compare una freccina con un menu. Scegli:
• OK → è successo esattamente quello che c'è scritto
• NON OK → è successo qualcosa di diverso (spiega nelle note!)
• BLOCCATO → non sei riuscito a fare la prova (es. manca un dato, errore prima di arrivarci)
• NON PROVATO → l'hai saltata</t>
  </si>
  <si>
    <t>5. Scrivi le note</t>
  </si>
  <si>
    <t>Nella colonna "Note" scrivi tutto quello che ti ha colpito, anche se l'esito è OK: testi poco chiari, colori che confondono, dubbi, idee. Se qualcosa non va, scrivi cosa hai visto e, se riesci, fai uno screenshot e annota il suo nome nella nota (es. "vedi foto S-27").</t>
  </si>
  <si>
    <t>Colonna "Già verificata in automatico"</t>
  </si>
  <si>
    <t>Un "✓ Sì" vuol dire che quella prova la fa già da sola una batteria di test automatici (un browser che clicca al posto nostro e controlla testi e saldi): l'ultimo giro, il 24/09/2026, è andato tutto bene. Su quelle righe basta un'occhiata a come appare la schermata e se i testi sono chiari. Le righe con "—" vanno provate davvero a mano: sono le più importanti.</t>
  </si>
  <si>
    <t>Consiglio</t>
  </si>
  <si>
    <t>Segui l'ordine delle righe: alcune prove preparano quelle dopo (es. S-15 serve per S-16). Se una prova dice "PRIMA: …", fai prima quel passaggio.</t>
  </si>
  <si>
    <t>Carte di prova (nessun addebito reale)</t>
  </si>
  <si>
    <t>Carta che funziona</t>
  </si>
  <si>
    <t>4242 4242 4242 4242   —   Scadenza: qualsiasi data futura (es. 12/30) · CVC: 123 · Nome e CAP: a piacere</t>
  </si>
  <si>
    <t>Carta rifiutata</t>
  </si>
  <si>
    <t>4000 0000 0000 0002   —   Per il test S-09</t>
  </si>
  <si>
    <t>Attenzione</t>
  </si>
  <si>
    <t>Mai inserire una carta vera: l'ambiente di prova non la addebiterebbe comunque, ma non serve.</t>
  </si>
  <si>
    <t>Account da usare</t>
  </si>
  <si>
    <t>Mario Prova</t>
  </si>
  <si>
    <t>socio.prova1@canepacce.test · password: ____________________ · socio con credito</t>
  </si>
  <si>
    <t>Luigi Prova</t>
  </si>
  <si>
    <t>socio.prova2@canepacce.test · password: ____________________ · socio che parte senza credito</t>
  </si>
  <si>
    <t>Admin</t>
  </si>
  <si>
    <t>il tuo account admin sull'app di prova · email: ____________________</t>
  </si>
  <si>
    <t>Indirizzo app di prova</t>
  </si>
  <si>
    <t>____________________________________________  (te lo dà Bruno)</t>
  </si>
  <si>
    <t>Parole che incontrerai</t>
  </si>
  <si>
    <t>Quota</t>
  </si>
  <si>
    <t>Quello che paga ciascun giocatore per un'ora di campo. La tariffa è "a persona all'ora".</t>
  </si>
  <si>
    <t>Ora con luci</t>
  </si>
  <si>
    <t>Un'ora giocata dopo il tramonto costa di più (tariffa "con luci"). L'app lo calcola da sola in base al tramonto del giorno.</t>
  </si>
  <si>
    <t>Copertura</t>
  </si>
  <si>
    <t>Se un socio che giochi con te non ha credito, la sua quota la paghi tu. L'app te lo dice PRIMA di confermare, con un riquadro ambra.</t>
  </si>
  <si>
    <t>Ospite</t>
  </si>
  <si>
    <t>Un giocatore non socio: la sua quota la paga chi prenota.</t>
  </si>
  <si>
    <t>Da definire</t>
  </si>
  <si>
    <t>Un posto riservato a un giocatore che non sai ancora chi sarà: la quota la paga chi prenota, poi puoi sostituirlo con "Modifica".</t>
  </si>
  <si>
    <t>Colori</t>
  </si>
  <si>
    <t>Verde = pagato / tutto a posto · Ambra = stai pagando anche per qualcun altro · Rosso = credito insufficiente · Riquadro bianco con "+" = soldi che ti tornano (rimborso).</t>
  </si>
  <si>
    <t>Prima di iniziare — per chi prepara l'ambiente (Bruno)</t>
  </si>
  <si>
    <t>1. Ambiente di prova</t>
  </si>
  <si>
    <t>Tutti i test si fanno sull'app di PROVA (staging), mai su quella vera. I soldi sono finti: nessuna carta reale viene addebitata.</t>
  </si>
  <si>
    <t>2. Pagamenti accesi</t>
  </si>
  <si>
    <t>Su staging l'impostazione "pagamenti_attivi" deve valere true (SQL Editor: UPDATE app_settings SET value = 'true' WHERE key = 'pagamenti_attivi';). Da spenti non c'è nessun addebito e quasi tutti i test non hanno senso.</t>
  </si>
  <si>
    <t>3. Account di prova</t>
  </si>
  <si>
    <t>Due soci approvati: Mario Prova (socio.prova1@canepacce.test) e Luigi Prova (socio.prova2@canepacce.test), creati da Authentication → Users con "Auto Confirm User". Più un account admin per ciascun tester.</t>
  </si>
  <si>
    <t>4. Credito iniziale</t>
  </si>
  <si>
    <t>Mario: €20 accreditati con "Accredita Contanti" (è anche il test A-03). Luigi: parte da €0.</t>
  </si>
  <si>
    <t>5. Tariffa</t>
  </si>
  <si>
    <t>In "Portafogli Soci" → "Tariffe" deve esserci una tariffa attiva con prezzo di giorno e con luci diversi (es. €3 e €5), così si vede la differenza.</t>
  </si>
  <si>
    <t>6. Pagamenti con carta</t>
  </si>
  <si>
    <t>Le chiavi Stripe di prova e il webhook sono configurati su staging (dal 18/09). Verificare solo che siano ancora attivi e che le funzioni "wallet-create-checkout" e "payment-webhook" siano all'ultima versione.</t>
  </si>
  <si>
    <t>7. Due browser</t>
  </si>
  <si>
    <t>Per alcuni test servono due utenti contemporaneamente: usa un browser normale per uno e una finestra anonima (o un altro browser) per l'altro.</t>
  </si>
  <si>
    <t>Prove con un account da SOCIO</t>
  </si>
  <si>
    <t>Collegati come socio (Mario o Luigi, vedi colonna "Con quale account"). Segui le righe in ordine. Esito: scegli dal menu nella cella gialla.</t>
  </si>
  <si>
    <t>Nome tester →</t>
  </si>
  <si>
    <t xml:space="preserve">Tester 1: </t>
  </si>
  <si>
    <t xml:space="preserve">Tester 2: </t>
  </si>
  <si>
    <t>ID</t>
  </si>
  <si>
    <t xml:space="preserve">Già verificata
in automatico</t>
  </si>
  <si>
    <t>Area</t>
  </si>
  <si>
    <t>Cosa verifichiamo</t>
  </si>
  <si>
    <t>Con quale account</t>
  </si>
  <si>
    <t>Cosa fare (passo passo)</t>
  </si>
  <si>
    <t>Cosa deve succedere</t>
  </si>
  <si>
    <t xml:space="preserve">Esito
Tester 1</t>
  </si>
  <si>
    <t>Note Tester 1</t>
  </si>
  <si>
    <t xml:space="preserve">Esito
Tester 2</t>
  </si>
  <si>
    <t>Note Tester 2</t>
  </si>
  <si>
    <t>1. IL MIO PORTAFOGLIO</t>
  </si>
  <si>
    <t>S-01</t>
  </si>
  <si>
    <t>✓ Sì</t>
  </si>
  <si>
    <t>Portafoglio</t>
  </si>
  <si>
    <t>Il riquadro del portafoglio è in dashboard</t>
  </si>
  <si>
    <t>Mario</t>
  </si>
  <si>
    <t xml:space="preserve">1. Accedi con l'account di Mario.
2. Guarda la pagina principale (dashboard).</t>
  </si>
  <si>
    <t>C'è un riquadro "Il mio Portafoglio", subito dopo "Vista Settimanale", grande come gli altri, con il saldo scritto e un solo bottone "Vai al Portafoglio".</t>
  </si>
  <si>
    <t>S-02</t>
  </si>
  <si>
    <t>Apertura della pagina Portafoglio</t>
  </si>
  <si>
    <t>1. Nel riquadro "Il mio Portafoglio" premi "Vai al Portafoglio".</t>
  </si>
  <si>
    <t>Si apre la pagina "Il mio Portafoglio" con: saldo disponibile, sezione "Ricarica" con alcuni importi pronti (es. €10, €20, €50) e un campo "Altro importo", elenco "Movimenti recenti". Con la freccia in alto a sinistra torni alla dashboard.</t>
  </si>
  <si>
    <t>S-03</t>
  </si>
  <si>
    <t>—</t>
  </si>
  <si>
    <t>Colore del saldo</t>
  </si>
  <si>
    <t>Mario e Luigi</t>
  </si>
  <si>
    <t xml:space="preserve">1. Guarda il saldo di Mario (che ha credito).
2. Esci, entra come Luigi (saldo €0) e guarda il suo saldo.</t>
  </si>
  <si>
    <t>Con saldo alto il numero è verde; con saldo basso (sotto circa €5) tende all'arancione. Non è mai rosso.</t>
  </si>
  <si>
    <t>S-04</t>
  </si>
  <si>
    <t>Ricarica carta</t>
  </si>
  <si>
    <t>Ricarica con carta con un importo pronto</t>
  </si>
  <si>
    <t xml:space="preserve">1. In "Il mio Portafoglio" premi "€10".
2. Si apre la pagina di pagamento: numero carta 4242 4242 4242 4242, scadenza una qualsiasi futura (es. 12/30), CVC 123, nome e CAP a piacere.
3. Paga.</t>
  </si>
  <si>
    <t>Torni sulla pagina del portafoglio. Compare un avviso giallo "Pagamento in verifica…", che dopo pochi secondi sparisce da solo con il messaggio "Ricarica completata! Saldo aggiornato.". Il saldo è aumentato di €10 e nei movimenti c'è "Ricarica con carta".</t>
  </si>
  <si>
    <t>S-05</t>
  </si>
  <si>
    <t>Ricarica con importo libero</t>
  </si>
  <si>
    <t xml:space="preserve">1. Nel campo "Altro importo" scrivi 7,50.
2. Premi "Ricarica" e paga come in S-04.</t>
  </si>
  <si>
    <t>Saldo aumentato di esattamente €7,50, movimento "Ricarica con carta" in elenco.</t>
  </si>
  <si>
    <t>S-06</t>
  </si>
  <si>
    <t>Importo non valido</t>
  </si>
  <si>
    <t xml:space="preserve">1. Nel campo "Altro importo" scrivi 0 e premi "Ricarica".
2. Prova anche con lettere (es. "abc").</t>
  </si>
  <si>
    <t>Messaggio "Inserisci un importo valido." e nessuna pagina di pagamento si apre.</t>
  </si>
  <si>
    <t>S-07</t>
  </si>
  <si>
    <t>Pagamento annullato</t>
  </si>
  <si>
    <t xml:space="preserve">1. Premi "€10".
2. Nella pagina di pagamento NON pagare: usa la freccia/link per tornare indietro (annulla).</t>
  </si>
  <si>
    <t>Torni sul portafoglio con il messaggio "Ricarica annullata.". Il saldo NON cambia e non compare nessun movimento nuovo.</t>
  </si>
  <si>
    <t>S-08</t>
  </si>
  <si>
    <t>Pagamento con pagina chiusa prima del ritorno</t>
  </si>
  <si>
    <t xml:space="preserve">1. Premi "€10" e paga.
2. Subito dopo aver premuto "Paga", chiudi la scheda del browser senza aspettare il ritorno all'app.
3. Dopo un minuto riapri l'app e vai su "Il mio Portafoglio".</t>
  </si>
  <si>
    <t>Il saldo è comunque aumentato di €10: l'accredito non dipende dal ritorno sulla pagina.</t>
  </si>
  <si>
    <t>S-09</t>
  </si>
  <si>
    <t xml:space="preserve">1. Premi "€10".
2. Usa la carta di prova rifiutata 4000 0000 0000 0002.</t>
  </si>
  <si>
    <t>La pagina di pagamento segnala che la carta è rifiutata. Nell'app il saldo non cambia.</t>
  </si>
  <si>
    <t>2. PRENOTARE UN CAMPO</t>
  </si>
  <si>
    <t>S-10</t>
  </si>
  <si>
    <t>Prenotazione</t>
  </si>
  <si>
    <t>Scelta dei partecipanti (ricerca)</t>
  </si>
  <si>
    <t xml:space="preserve">1. Dashboard → "Prenota un Campo".
2. Scegli data, campo, un orario libero e tipo "Singolare".
3. Nel campo "Cerca o seleziona un socio..." scrivi le prime lettere di "Luigi".</t>
  </si>
  <si>
    <t>Il tuo nome è già presente come primo partecipante con la scritta "Tu" e senza crocetta (non puoi toglierti). Mentre scrivi, l'elenco si filtra e compare "Luigi Prova". Cliccandolo si aggiunge.</t>
  </si>
  <si>
    <t>S-11</t>
  </si>
  <si>
    <t>Scelta dei partecipanti (sfoglia elenco)</t>
  </si>
  <si>
    <t>1. Come S-10 ma questa volta clicca sul campo di ricerca senza scrivere nulla.</t>
  </si>
  <si>
    <t>Si apre l'elenco completo dei soci da scorrere. Tu non compari nell'elenco. Un socio già scelto non compare di nuovo.</t>
  </si>
  <si>
    <t>S-12</t>
  </si>
  <si>
    <t>Ospite e "Da definire"</t>
  </si>
  <si>
    <t xml:space="preserve">1. Scegli tipo "Doppio".
2. Aggiungi Luigi.
3. Premi "Ospite" e scrivi un nome (es. "Paolo Bianchi").
4. Premi "Da definire".</t>
  </si>
  <si>
    <t>Compaiono 4 partecipanti: Tu, Luigi, Paolo Bianchi (con scritta "Ospite") e un chip tratteggiato "Da definire". Sotto c'è una riga grigia che spiega la differenza tra Ospite e Da definire. Ogni partecipante tranne te ha la crocetta per toglierlo.</t>
  </si>
  <si>
    <t>S-13</t>
  </si>
  <si>
    <t>Numero di partecipanti per tipo</t>
  </si>
  <si>
    <t xml:space="preserve">1. Tipo "Singolare": prova a premere "Conferma Prenotazione" con solo te stesso.
2. Tipo "Doppio": prova con solo 2 o 3 partecipanti.</t>
  </si>
  <si>
    <t>L'app non va avanti e spiega quanti partecipanti servono (singolare = 2, doppio = 4).</t>
  </si>
  <si>
    <t>S-14</t>
  </si>
  <si>
    <t>Lezione con maestro</t>
  </si>
  <si>
    <t xml:space="preserve">1. Tipo "Lezione", lascia vuoto il nome del maestro e prova a confermare.
2. Poi scrivi un nome maestro e conferma.</t>
  </si>
  <si>
    <t>Senza nome maestro non si procede. Con il nome si apre il riepilogo. Il maestro non paga in app: pagano solo gli allievi scelti (da 1 a 4).</t>
  </si>
  <si>
    <t>S-15</t>
  </si>
  <si>
    <t>Riepilogo prima di pagare (tutti con credito)</t>
  </si>
  <si>
    <t>Mario (e Luigi con credito)</t>
  </si>
  <si>
    <t xml:space="preserve">PRIMA: fai accreditare €20 anche a Luigi (test A-03 del foglio Admin).
1. Prenota un Singolare di 1 ora con Luigi, in un orario di giorno (es. 10:00).
2. Premi "Conferma Prenotazione" e LEGGI il riepilogo senza confermare.</t>
  </si>
  <si>
    <t>Si apre "Conferma prenotazione" con: la tua quota (grigio), una riga VERDE "Luigi Prova paga la sua quota" con l'importo, "Totale prenotazione", "Saldo dopo l'operazione". Il bottone dice "Conferma e paga €X" con la TUA quota, non un generico "Conferma".</t>
  </si>
  <si>
    <t>S-16</t>
  </si>
  <si>
    <t>Conferma e riepilogo finale</t>
  </si>
  <si>
    <t>1. Dal riepilogo di S-15 premi "Conferma e paga €X".</t>
  </si>
  <si>
    <t>Popup "Prenotazione Confermata!" con campo, data, orario e un "Riepilogo pagamenti" con segni di spunta verdi: "Hai pagato la tua quota" e "Luigi Prova ha pagato la sua quota". Nel portafoglio di Mario e in quello di Luigi compare l'addebito "Prenotazione campo".</t>
  </si>
  <si>
    <t>S-17</t>
  </si>
  <si>
    <t>Un partecipante senza credito (copertura)</t>
  </si>
  <si>
    <t>Mario + Luigi a €0</t>
  </si>
  <si>
    <t xml:space="preserve">PRIMA: Luigi deve avere saldo €0 (se serve, fagli togliere il credito con il test A-04).
1. Mario prenota un Singolare con Luigi.
2. Leggi il riepilogo.</t>
  </si>
  <si>
    <t>Compare un riquadro AMBRA: "Luigi Prova non ha credito sufficiente → i €X verranno scalati dal TUO saldo". Il bottone mostra la tua quota + quella di Luigi. Dopo la conferma: "Hai coperto tu la quota di Luigi Prova". Il saldo di Luigi NON viene toccato.</t>
  </si>
  <si>
    <t>S-18</t>
  </si>
  <si>
    <t>Ospite pagato dal prenotante</t>
  </si>
  <si>
    <t xml:space="preserve">1. Prenota un Doppio con Luigi (con credito), un Ospite e un "Da definire".
2. Leggi il riepilogo.</t>
  </si>
  <si>
    <t>La "Tua quota" comprende anche la quota dell'ospite e del "Da definire" (c'è scritto "comprende eventuali ospiti"). Luigi paga solo la sua.</t>
  </si>
  <si>
    <t>S-19</t>
  </si>
  <si>
    <t>Saldo insufficiente: dettaglio</t>
  </si>
  <si>
    <t>Luigi a €0</t>
  </si>
  <si>
    <t xml:space="preserve">1. Entra come Luigi (saldo €0).
2. Prenota un Singolare con Mario e premi "Conferma Prenotazione".</t>
  </si>
  <si>
    <t>Riquadro ROSSO "Saldo insufficiente per Luigi Prova" con le righe di dettaglio (quota propria ed eventuali quote coperte), "Servono in totale", "Disponibili" e "Ti mancano €X". Il bottone di conferma è disattivato. Nessun addebito a nessuno.</t>
  </si>
  <si>
    <t>S-20</t>
  </si>
  <si>
    <t>Saldo insufficiente: bottone Ricarica</t>
  </si>
  <si>
    <t>1. Dal riquadro rosso di S-19 premi "Ricarica €X".</t>
  </si>
  <si>
    <t>Si apre "Il mio Portafoglio" con l'importo mancante già scritto in "Altro importo" (lo puoi cambiare). Sotto il bottone c'era anche la riga "Puoi anche ricaricare in contanti presso il circolo."</t>
  </si>
  <si>
    <t>S-21</t>
  </si>
  <si>
    <t>Ritorno alla prenotazione dopo la ricarica</t>
  </si>
  <si>
    <t>Luigi</t>
  </si>
  <si>
    <t xml:space="preserve">1. Da S-20 paga la ricarica con la carta 4242….
2. Aspetta che l'avviso giallo sparisca.</t>
  </si>
  <si>
    <t>Compare un riquadro verde "Hai una prenotazione da completare…" con "Torna a prenotare" (riporta a "Prenota un Campo") e "Non ora" (chiude l'avviso). Campo e orario vanno scelti di nuovo: è normale.</t>
  </si>
  <si>
    <t>S-22</t>
  </si>
  <si>
    <t>Orario con le luci</t>
  </si>
  <si>
    <t xml:space="preserve">1. Prenota 1 ora dopo il tramonto (es. 21:00).
2. Leggi il riepilogo.</t>
  </si>
  <si>
    <t>Compare "Dettaglio orario" con l'ora e la scritta arancione "con luci": la quota è quella con luci (più alta), coerente con la tariffa luci indicata dall'admin.</t>
  </si>
  <si>
    <t>S-23</t>
  </si>
  <si>
    <t>2 ore a cavallo del tramonto</t>
  </si>
  <si>
    <t xml:space="preserve">1. Prenota 2 ore consecutive a cavallo del tramonto (es. in questo periodo 18:00–20:00).
2. Leggi il riepilogo.</t>
  </si>
  <si>
    <t>Il dettaglio orario mostra un'ora di giorno e una "con luci", ciascuna col suo prezzo. La quota totale è la somma delle due.</t>
  </si>
  <si>
    <t>S-24</t>
  </si>
  <si>
    <t>Slot preso da un altro nel frattempo</t>
  </si>
  <si>
    <t>Mario + Luigi (2 browser)</t>
  </si>
  <si>
    <t xml:space="preserve">1. Apri l'app come Mario su un browser e come Luigi su un altro (o in una finestra anonima).
2. Entrambi scegliete lo stesso campo e orario e aprite il riepilogo.
3. Confermate uno dopo l'altro.</t>
  </si>
  <si>
    <t>Il primo riesce. Il secondo riceve un messaggio chiaro che lo slot è appena stato preso e NON viene addebitato nulla.</t>
  </si>
  <si>
    <t>S-25</t>
  </si>
  <si>
    <t>Regole invariate</t>
  </si>
  <si>
    <t>Limiti di prenotazione come prima</t>
  </si>
  <si>
    <t xml:space="preserve">1. Prova a prenotare più di 2 ore di fila.
2. Prova a prenotare oltre 14 giorni da oggi.
3. Fai 2 prenotazioni nella stessa settimana e prova la terza.</t>
  </si>
  <si>
    <t>Tutti i limiti funzionano come prima dei pagamenti (max 2 ore, max 14 giorni, max 2 prenotazioni a settimana) e nessun addebito avviene per un tentativo bloccato.</t>
  </si>
  <si>
    <t>3. I MIEI CAMPI: MODIFICA E DISDETTA</t>
  </si>
  <si>
    <t>S-26</t>
  </si>
  <si>
    <t>Modifica</t>
  </si>
  <si>
    <t>Allungare una prenotazione (paghi)</t>
  </si>
  <si>
    <t xml:space="preserve">1. Dashboard → "I miei Campi" → su una prenotazione di 1 ora premi "Modifica".
2. Aggiungi un'ora consecutiva e premi "Salva Modifiche".</t>
  </si>
  <si>
    <t>Si apre "Conferma modifica". Compaiono solo gli addebiti per l'ora in più. Il bottone dice "Conferma e paga €X". Dopo la conferma il saldo scende solo dell'ora aggiunta.</t>
  </si>
  <si>
    <t>S-27</t>
  </si>
  <si>
    <t>Accorciare una prenotazione (ricevi un rimborso)</t>
  </si>
  <si>
    <t xml:space="preserve">1. Su una prenotazione di 2 ore premi "Modifica".
2. Togli un'ora e premi "Salva Modifiche".</t>
  </si>
  <si>
    <t>Titolo "Conferma modifica". In alto: "Con questa modifica non paghi nulla: ricevi un rimborso sul tuo saldo". Sezione "Rimborsi" con righe bianche bordate e importo col "+" (es. "+€3,00"). Bottone "Conferma e ricevi €X". Dopo la conferma: "Prenotazione aggiornata: €X rimborsati sul tuo saldo." NIENTE deve far pensare che stai pagando di nuovo.</t>
  </si>
  <si>
    <t>S-28</t>
  </si>
  <si>
    <t>Sostituire un partecipante</t>
  </si>
  <si>
    <t xml:space="preserve">1. Su un Doppio con partecipanti soci premi "Modifica".
2. Togli un socio e metti un altro socio.</t>
  </si>
  <si>
    <t>Nel riepilogo: rimborso al socio che esce e addebito a quello che entra. Se per te non cambia nulla il bottone dice "Conferma modifica".</t>
  </si>
  <si>
    <t>S-29</t>
  </si>
  <si>
    <t>Modifica che non cambia il costo</t>
  </si>
  <si>
    <t>1. Su un Doppio sostituisci un "Da definire" con un ospite.</t>
  </si>
  <si>
    <t>Riepilogo con la scritta "Il costo non cambia: nessun addebito e nessun rimborso."</t>
  </si>
  <si>
    <t>S-30</t>
  </si>
  <si>
    <t>Quota coperta che torna indietro</t>
  </si>
  <si>
    <t xml:space="preserve">1. Usa la prenotazione di S-17 (dove Mario ha coperto Luigi).
2. Modificala togliendo Luigi e mettendo un altro partecipante.</t>
  </si>
  <si>
    <t>Nella sezione "Rimborsi" compare "Ti torna la quota che avevi coperto per Luigi Prova" con importo "+€X".</t>
  </si>
  <si>
    <t>S-31</t>
  </si>
  <si>
    <t>Disdetta</t>
  </si>
  <si>
    <t>Eliminare una prenotazione pagata</t>
  </si>
  <si>
    <t xml:space="preserve">1. In "I miei Campi" premi il cestino su una prenotazione pagata.
2. Leggi la finestra, poi conferma con "Elimina".</t>
  </si>
  <si>
    <t>Prima di confermare: riga "Ti verranno rimborsati sul saldo +€X" e frase grigia "Chi ha pagato la propria quota dal portafoglio la riceve indietro per intero." Dopo: "Prenotazione annullata. €X rimborsati sul tuo saldo." (più "Anche gli altri partecipanti sono stati rimborsati." se c'erano altri soci).</t>
  </si>
  <si>
    <t>S-32</t>
  </si>
  <si>
    <t>Rimborso anche agli altri partecipanti</t>
  </si>
  <si>
    <t xml:space="preserve">1. Dopo S-31, entra come Luigi (se era nella prenotazione).
2. Apri "Il mio Portafoglio".</t>
  </si>
  <si>
    <t>Nei movimenti di Luigi c'è il rimborso della sua quota e il saldo è tornato come prima della prenotazione.</t>
  </si>
  <si>
    <t>S-33</t>
  </si>
  <si>
    <t>Troppo tardi per modificare o disdire</t>
  </si>
  <si>
    <t xml:space="preserve">1. Prenota uno slot che inizia a breve (l'ora in corso o la prossima).
2. Dopo l'orario di inizio prova a modificarlo o eliminarlo.</t>
  </si>
  <si>
    <t>Non si riesce: o i bottoni "Modifica"/cestino non ci sono più, o compare un messaggio chiaro (modifica e disdetta sono consentite fino a 1 minuto prima dell'inizio). Nessun movimento di soldi.</t>
  </si>
  <si>
    <t>4. PRENOTA PER SOCIO (CONTO TERZI)</t>
  </si>
  <si>
    <t>S-34</t>
  </si>
  <si>
    <t>Conto terzi</t>
  </si>
  <si>
    <t>Prenotare per altri senza giocare</t>
  </si>
  <si>
    <t xml:space="preserve">1. Dashboard → "Prenota per Socio".
2. Scegli campo e orario, aggiungi come partecipanti Luigi e un altro socio (o ospite).
3. Conferma.</t>
  </si>
  <si>
    <t>Tu NON compari tra i partecipanti. Il primo socio scelto è quello "per cui" è la prenotazione. Nel riepilogo ciascun socio paga la propria quota; se qualcuno non ha credito la sua quota passa a te (riquadro ambra).</t>
  </si>
  <si>
    <t>S-35</t>
  </si>
  <si>
    <t>Limite di 1 prenotazione per terzi a settimana</t>
  </si>
  <si>
    <t>1. Dopo S-34 prova a fare una seconda prenotazione per terzi nella stessa settimana.</t>
  </si>
  <si>
    <t>L'app lo blocca con un messaggio chiaro (max 1 per settimana). Nessun addebito.</t>
  </si>
  <si>
    <t>5. CERCO PARTITA (SFIDE)</t>
  </si>
  <si>
    <t>S-36</t>
  </si>
  <si>
    <t>Sfide</t>
  </si>
  <si>
    <t>Pubblicare una sfida non costa nulla</t>
  </si>
  <si>
    <t>1. Dashboard → "Cerco Partita" → pubblica una sfida Singolare.</t>
  </si>
  <si>
    <t>La sfida compare in bacheca. Nessun movimento nel portafoglio di Luigi.</t>
  </si>
  <si>
    <t>S-37</t>
  </si>
  <si>
    <t>Accettare una sfida singolare</t>
  </si>
  <si>
    <t xml:space="preserve">1. Entra come Mario → "Cerco Partita" → accetta la sfida di Luigi.
2. Nella pagina "Conferma Sfida" guarda i partecipanti e premi "Accetta e Prenota".</t>
  </si>
  <si>
    <t>Partecipanti fissi: "Tu" (verde) e Luigi con scritta "Sfidante" (arancione), nessuno dei due rimovibile. Nel riepilogo entrambi pagano la propria quota (o Mario copre Luigi se è senza credito). Alla fine popup di conferma con "Riepilogo pagamenti". La sfida risulta chiusa.</t>
  </si>
  <si>
    <t>S-38</t>
  </si>
  <si>
    <t>Accettare una sfida in doppio</t>
  </si>
  <si>
    <t xml:space="preserve">1. Luigi pubblica una sfida Doppio.
2. Mario la accetta: aggiunge altri 2 partecipanti (soci, ospiti o "Da definire") e conferma.</t>
  </si>
  <si>
    <t>Servono 4 partecipanti: Tu + Sfidante fissi + 2 a scelta. Pagamenti come in una prenotazione normale.</t>
  </si>
  <si>
    <t>6. STORICO E CONTROLLI FINALI</t>
  </si>
  <si>
    <t>S-39</t>
  </si>
  <si>
    <t>Storico</t>
  </si>
  <si>
    <t>I movimenti sono chiari</t>
  </si>
  <si>
    <t>1. Apri "Il mio Portafoglio" di entrambi e leggi tutti i movimenti fatti durante i test.</t>
  </si>
  <si>
    <t>Ogni movimento dice cosa è (ricarica carta / contanti, prenotazione campo, copertura quota di un socio con il suo nome, rimborso, correzione admin) con data e importo. Il saldo finale torna con la somma dei movimenti.</t>
  </si>
  <si>
    <t>S-40</t>
  </si>
  <si>
    <t>Sicurezza</t>
  </si>
  <si>
    <t>Un socio non vede l'area admin</t>
  </si>
  <si>
    <t>1. Da Mario scrivi a mano nell'indirizzo del browser /admin/wallets.</t>
  </si>
  <si>
    <t>Mario viene rimandato alla sua dashboard: non vede i portafogli degli altri né può accreditare soldi.</t>
  </si>
  <si>
    <t>Prove con un account AMMINISTRATORE</t>
  </si>
  <si>
    <t>Collegati come admin. Alcune prove chiedono di controllare poi con Mario o Luigi. Esito: scegli dal menu nella cella gialla.</t>
  </si>
  <si>
    <t>1. PORTAFOGLI SOCI: TAB SOCI</t>
  </si>
  <si>
    <t>A-01</t>
  </si>
  <si>
    <t>Portafogli soci</t>
  </si>
  <si>
    <t>Il riquadro è nel pannello admin</t>
  </si>
  <si>
    <t>1. Accedi come admin → "Pannello Admin".</t>
  </si>
  <si>
    <t>C'è il riquadro "Portafogli Soci". Aprendolo si vedono tre schede: "Soci", "Tariffe", "Luci".</t>
  </si>
  <si>
    <t>A-02</t>
  </si>
  <si>
    <t>Cercare un socio e vederne il saldo</t>
  </si>
  <si>
    <t xml:space="preserve">1. Scheda "Soci" → in "Cerca Socio" scrivi "Mario".
2. Clicca su "Mario Prova".</t>
  </si>
  <si>
    <t>Compaiono il saldo di Mario, i bottoni "Accredita Contanti" e "Correggi Saldo" e lo storico completo dei suoi movimenti (uguale a quello che vede Mario).</t>
  </si>
  <si>
    <t>A-03</t>
  </si>
  <si>
    <t>Contanti</t>
  </si>
  <si>
    <t>Accreditare contanti</t>
  </si>
  <si>
    <t xml:space="preserve">1. Seleziona Luigi → "Accredita Contanti".
2. Importo 20, nota "Contanti ricevuti per test".
3. Conferma.</t>
  </si>
  <si>
    <t>Saldo di Luigi +€20. Nello storico: "Ricarica in contanti" con la nota. Entrando come Luigi, vede lo stesso movimento nel suo portafoglio.</t>
  </si>
  <si>
    <t>A-04</t>
  </si>
  <si>
    <t>Correzione</t>
  </si>
  <si>
    <t>Togliere credito con Correggi Saldo</t>
  </si>
  <si>
    <t xml:space="preserve">1. Seleziona Luigi → "Correggi Saldo" → "Rimuovi credito".
2. Importo 5, motivo "Test correzione".
3. Conferma.</t>
  </si>
  <si>
    <t>Saldo di Luigi −€5, movimento di correzione con il motivo, visibile anche a Luigi.</t>
  </si>
  <si>
    <t>A-05</t>
  </si>
  <si>
    <t>Aggiungere credito con Correggi Saldo</t>
  </si>
  <si>
    <t>1. Come A-04 ma con "Aggiungi credito" di €5.</t>
  </si>
  <si>
    <t>Saldo di Luigi +€5, movimento di correzione con il motivo.</t>
  </si>
  <si>
    <t>A-06</t>
  </si>
  <si>
    <t>Nota obbligatoria</t>
  </si>
  <si>
    <t xml:space="preserve">1. Apri "Accredita Contanti" o "Correggi Saldo", metti un importo e lascia vuota la nota/motivo.
2. Conferma.</t>
  </si>
  <si>
    <t>L'app non procede e chiede di indicare la nota. Nessun movimento.</t>
  </si>
  <si>
    <t>A-07</t>
  </si>
  <si>
    <t>Il saldo non va mai sotto zero</t>
  </si>
  <si>
    <t>1. Luigi con pochi euro: prova "Correggi Saldo" → "Rimuovi credito" di un importo più alto del suo saldo.</t>
  </si>
  <si>
    <t>Operazione rifiutata con un messaggio chiaro. Saldo invariato.</t>
  </si>
  <si>
    <t>2. TARIFFE</t>
  </si>
  <si>
    <t>A-08</t>
  </si>
  <si>
    <t>Tariffe</t>
  </si>
  <si>
    <t>Vedere la tariffa attuale</t>
  </si>
  <si>
    <t>1. "Portafogli Soci" → scheda "Tariffe".</t>
  </si>
  <si>
    <t>In evidenza la tariffa in vigore (€ a persona all'ora di giorno e con luci) e sotto lo storico delle tariffe.</t>
  </si>
  <si>
    <t>A-09</t>
  </si>
  <si>
    <t>Nuova tariffa da adesso</t>
  </si>
  <si>
    <t xml:space="preserve">1. Compila "€ / persona / ora" (es. 4,00) e "€ con luci" (es. 6,00), nota facoltativa.
2. Decorrenza: adesso. Salva.
3. Da Mario apri il riepilogo di una nuova prenotazione (senza confermare).</t>
  </si>
  <si>
    <t>La nuova tariffa appare come attuale e la vecchia resta nello storico. Il riepilogo di Mario usa i nuovi prezzi.</t>
  </si>
  <si>
    <t>A-10</t>
  </si>
  <si>
    <t>Le prenotazioni già fatte conservano il prezzo</t>
  </si>
  <si>
    <t>Admin + Mario</t>
  </si>
  <si>
    <t xml:space="preserve">1. Prima di A-09 Mario deve avere una prenotazione futura pagata con la tariffa vecchia.
2. Dopo A-09 controlla quella prenotazione.</t>
  </si>
  <si>
    <t>La prenotazione vecchia non viene riaddebitata: resta al prezzo pagato. (Se Mario la allunga, solo l'ora nuova usa la tariffa nuova.)</t>
  </si>
  <si>
    <t>A-11</t>
  </si>
  <si>
    <t>Nessuna tariffa nel passato</t>
  </si>
  <si>
    <t>1. Prova a creare una tariffa con decorrenza in una data passata.</t>
  </si>
  <si>
    <t>Operazione rifiutata con un messaggio chiaro.</t>
  </si>
  <si>
    <t>A-12</t>
  </si>
  <si>
    <t>Rimettere la tariffa corretta</t>
  </si>
  <si>
    <t>1. A fine test crea di nuovo una tariffa con i prezzi reali decisi dal circolo.</t>
  </si>
  <si>
    <t>La tariffa attuale è quella giusta per le prove successive.</t>
  </si>
  <si>
    <t>3. LUCI</t>
  </si>
  <si>
    <t>A-13</t>
  </si>
  <si>
    <t>Luci</t>
  </si>
  <si>
    <t>Cambiare il margine dopo il tramonto</t>
  </si>
  <si>
    <t xml:space="preserve">1. "Portafogli Soci" → scheda "Luci".
2. Cambia "Margine di tolleranza (minuti dopo il tramonto)" (es. da 30 a 60) e premi "Salva".
3. Da Mario apri il riepilogo di un'ora vicina al tramonto.</t>
  </si>
  <si>
    <t>Il valore resta salvato. Con un margine più alto, un'ora che prima era "con luci" può diventare di giorno. Alla fine rimetti il valore originale.</t>
  </si>
  <si>
    <t>A-14</t>
  </si>
  <si>
    <t>"Sempre luci" per un giorno</t>
  </si>
  <si>
    <t xml:space="preserve">1. Scegli una data, seleziona "Sempre luci", motivo "Test" → "Salva Override".
2. Da Mario apri il riepilogo di un'ora a mezzogiorno di quella data.</t>
  </si>
  <si>
    <t>L'override compare in elenco. Il riepilogo di Mario mostra quell'ora "con luci" e il prezzo luci.</t>
  </si>
  <si>
    <t>A-15</t>
  </si>
  <si>
    <t>"Mai luci" per un giorno</t>
  </si>
  <si>
    <t xml:space="preserve">1. Come A-14 ma con "Mai luci" su un'altra data.
2. Da Mario apri il riepilogo di un'ora serale (es. 21:00) di quella data.</t>
  </si>
  <si>
    <t>L'ora serale risulta di giorno (prezzo senza luci).</t>
  </si>
  <si>
    <t>A-16</t>
  </si>
  <si>
    <t>Rimuovere un override</t>
  </si>
  <si>
    <t>1. Nell'elenco degli override rimuovine uno e conferma in "Rimuovi override luci".</t>
  </si>
  <si>
    <t>L'override sparisce e quella data torna al calcolo automatico.</t>
  </si>
  <si>
    <t>4. PANNELLO PRENOTAZIONI</t>
  </si>
  <si>
    <t>A-17</t>
  </si>
  <si>
    <t>Prenotazioni admin</t>
  </si>
  <si>
    <t>Prenotare per soci che pagano in contanti</t>
  </si>
  <si>
    <t xml:space="preserve">1. "Pannello Admin" → "Prenotazioni".
2. Clicca uno slot libero (il "+"), scrivi nome e cognome, durata, "Crea".</t>
  </si>
  <si>
    <t>La prenotazione appare nella griglia. NESSUN portafoglio viene toccato (né quello dell'admin né altri).</t>
  </si>
  <si>
    <t>A-18</t>
  </si>
  <si>
    <t>Segnare i contanti incassati</t>
  </si>
  <si>
    <t xml:space="preserve">1. Sullo slot creato in A-17 clicca l'icona "€" in alto a destra.
2. Ricliccala.</t>
  </si>
  <si>
    <t>Primo clic: icona verde, slot verde, "Ora segnata come pagata.", il riepilogo in alto conta l'ora tra le "pagate". Secondo clic: torna "da pagare".</t>
  </si>
  <si>
    <t>A-19</t>
  </si>
  <si>
    <t>Ore pagate col portafoglio</t>
  </si>
  <si>
    <t xml:space="preserve">1. Trova nella griglia l'ora prenotata e pagata da Mario in app.
2. Passa sopra l'icona in alto a destra e prova a cliccarla.
3. Apri il dettaglio (icona occhio).</t>
  </si>
  <si>
    <t>Al posto della "€" c'è un'icona portafoglio verde fissa, non cliccabile ("Pagata col portafoglio in app"). Lo slot è verde e contato tra le "pagate". Il dettaglio dice "Pagata col portafoglio in app".</t>
  </si>
  <si>
    <t>A-20</t>
  </si>
  <si>
    <t>Annullare una prenotazione pagata in app</t>
  </si>
  <si>
    <t xml:space="preserve">1. Sull'ora pagata da Mario premi il cestino.
2. Leggi la finestra e conferma "Sì, elimina".
3. Entra come Mario e guarda il portafoglio.</t>
  </si>
  <si>
    <t>La finestra dice "Chi ha pagato quest'ora dal portafoglio verrà rimborsato." Dopo: "Prenotazione annullata. Chi aveva pagato è stato rimborsato sul portafoglio." Mario (e gli altri che avevano pagato) ricevono il rimborso nei movimenti.</t>
  </si>
  <si>
    <t>A-21</t>
  </si>
  <si>
    <t>Annullare una sola ora di una prenotazione da 2</t>
  </si>
  <si>
    <t>1. Su una prenotazione da 2 ore pagata in app elimina solo una delle due ore.</t>
  </si>
  <si>
    <t>Viene rimborsata solo l'ora eliminata; l'altra resta valida e pagata.</t>
  </si>
  <si>
    <t>A-22</t>
  </si>
  <si>
    <t>Annullare una prenotazione creata dal pannello</t>
  </si>
  <si>
    <t>1. Elimina lo slot creato in A-17.</t>
  </si>
  <si>
    <t>Messaggio "Prenotazione annullata." e nessun movimento su nessun portafoglio.</t>
  </si>
  <si>
    <t>A-23</t>
  </si>
  <si>
    <t>Spostare l'orario di una prenotazione pagata</t>
  </si>
  <si>
    <t>1. Su un'ora pagata in app premi "Modifica" (matita), cambia orario e "Salva".</t>
  </si>
  <si>
    <t>L'orario cambia. I saldi NON cambiano (regola decisa: resta il prezzo pagato; eventuali differenze giorno/luci si sistemano a mano con "Correggi Saldo").</t>
  </si>
  <si>
    <t>A-24</t>
  </si>
  <si>
    <t>Blocca Slot e Scuola Tennis non toccano i soldi</t>
  </si>
  <si>
    <t xml:space="preserve">1. Blocca uno slot da "Blocca Slot".
2. Crea una prenotazione da "Prenotazione Scuola Tennis".</t>
  </si>
  <si>
    <t>Funzionano come prima. Nessun movimento su nessun portafoglio.</t>
  </si>
  <si>
    <t>A-25</t>
  </si>
  <si>
    <t>L'admin che prenota dall'app paga come tutti</t>
  </si>
  <si>
    <t>1. Dall'area socio ("Prenota un Campo") l'admin prenota per sé con un altro socio.</t>
  </si>
  <si>
    <t>Riepilogo e addebiti come per qualsiasi socio (l'admin resta esente dai limiti settimanali/durata, ma paga la quota).</t>
  </si>
  <si>
    <t>5. ANAGRAFICA SOCI</t>
  </si>
  <si>
    <t>A-26</t>
  </si>
  <si>
    <t>Anagrafica</t>
  </si>
  <si>
    <t>Eliminare un socio con portafoglio</t>
  </si>
  <si>
    <t>1. "Anagrafica Soci" → prova a eliminare Mario (ha movimenti).</t>
  </si>
  <si>
    <t>Messaggio chiaro: "Non è possibile eliminare questo socio: ha un portafoglio con movimenti o prenotazioni collegate. Puoi revocargli l'accesso invece di eliminarlo." Nessun errore tecnico in inglese.</t>
  </si>
  <si>
    <t>A-27</t>
  </si>
  <si>
    <t>Revocare l'accesso invece di eliminare</t>
  </si>
  <si>
    <t xml:space="preserve">1. Su Mario usa l'interruttore di approvazione per revocargli l'accesso.
2. Poi riabilitalo.</t>
  </si>
  <si>
    <t>Il saldo e i movimenti di Mario restano intatti in entrambi i passaggi.</t>
  </si>
  <si>
    <t>6. CONTROLLI DI COERENZA</t>
  </si>
  <si>
    <t>A-28</t>
  </si>
  <si>
    <t>Coerenza</t>
  </si>
  <si>
    <t>I conti tornano</t>
  </si>
  <si>
    <t>1. A fine giornata di test, per Mario e Luigi confronta in "Portafogli Soci" il saldo con la somma dei movimenti in elenco.</t>
  </si>
  <si>
    <t>Saldo = somma di ricariche + contanti + correzioni − addebiti + rimborsi. Nessuna differenza.</t>
  </si>
  <si>
    <t>A-29</t>
  </si>
  <si>
    <t>Pagamenti spenti</t>
  </si>
  <si>
    <t>Solo Bruno</t>
  </si>
  <si>
    <t xml:space="preserve">1. (Da fare solo con Bruno) si spegne il pagamento in app dall'impostazione "pagamenti_attivi".
2. Mario prenota.</t>
  </si>
  <si>
    <t>Riepilogo "Nessun addebito: i pagamenti in app non sono ancora attivi." e bottone "Conferma prenotazione". Nessun movimento. Poi si riaccende.</t>
  </si>
  <si>
    <t>Riepilogo esiti (si aggiorna da solo)</t>
  </si>
  <si>
    <t>Tester 1</t>
  </si>
  <si>
    <t>Scheda</t>
  </si>
  <si>
    <t>Prove totali</t>
  </si>
  <si>
    <t>OK</t>
  </si>
  <si>
    <t>NON OK</t>
  </si>
  <si>
    <t>BLOCCATO</t>
  </si>
  <si>
    <t>NON PROVATO</t>
  </si>
  <si>
    <t>Da fare</t>
  </si>
  <si>
    <t>Socio</t>
  </si>
  <si>
    <t>Totale</t>
  </si>
  <si>
    <t>Tester 2</t>
  </si>
  <si>
    <t>Le prove con esito NON OK si trovano velocemente: nella scheda Socio o Admin usa la freccina del filtro sull'intestazione "Esito" e lascia spuntato solo "NON OK".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</si>
</sst>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FFFFFF"/>
      <sz val="20"/>
    </font>
    <font>
      <i/>
      <color rgb="FF6B7280"/>
    </font>
    <font>
      <b/>
      <color rgb="FF2E6B3D"/>
      <sz val="13"/>
    </font>
    <font>
      <b/>
    </font>
    <font>
      <b/>
      <color rgb="FFD96B27"/>
      <sz val="13"/>
    </font>
    <font/>
    <font>
      <b/>
      <color rgb="FFFFFFFF"/>
      <sz val="18"/>
      <name val="Calibri"/>
    </font>
    <font>
      <i/>
      <color rgb="FF6B7280"/>
      <sz val="11"/>
    </font>
    <font>
      <b/>
      <color rgb="FF6B7280"/>
    </font>
    <font>
      <b/>
      <color rgb="FFFFFFFF"/>
    </font>
    <font>
      <b/>
      <color rgb="FF2E6B3D"/>
      <sz val="12"/>
    </font>
    <font>
      <b/>
      <color rgb="FF2E6B3D"/>
    </font>
    <font>
      <b/>
      <color rgb="FF15803D"/>
    </font>
    <font>
      <color rgb="FF6B7280"/>
    </font>
    <font>
      <b/>
      <color rgb="FFD96B27"/>
      <sz val="12"/>
    </font>
    <font>
      <b/>
      <color rgb="FFD96B27"/>
    </font>
    <font>
      <b/>
      <color rgb="FFFFFFFF"/>
      <sz val="18"/>
    </font>
    <font>
      <b/>
      <color rgb="FFB91C1C"/>
    </font>
  </fonts>
  <fills count="9">
    <fill>
      <patternFill patternType="none"/>
    </fill>
    <fill>
      <patternFill patternType="gray125"/>
    </fill>
    <fill>
      <patternFill patternType="solid">
        <fgColor rgb="FF2E6B3D"/>
      </patternFill>
    </fill>
    <fill>
      <patternFill patternType="solid">
        <fgColor rgb="FFEEF6F0"/>
      </patternFill>
    </fill>
    <fill>
      <patternFill patternType="solid">
        <fgColor rgb="FFFBEFE7"/>
      </patternFill>
    </fill>
    <fill>
      <patternFill patternType="solid">
        <fgColor rgb="FFFFFBEB"/>
      </patternFill>
    </fill>
    <fill>
      <patternFill patternType="solid">
        <fgColor rgb="FFDCFCE7"/>
      </patternFill>
    </fill>
    <fill>
      <patternFill patternType="solid">
        <fgColor rgb="FFD96B27"/>
      </patternFill>
    </fill>
    <fill>
      <patternFill patternType="solid">
        <fgColor rgb="FF6B728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E6B3D"/>
      </bottom>
      <diagonal/>
    </border>
    <border>
      <left/>
      <right/>
      <top/>
      <bottom style="medium">
        <color rgb="FFD96B27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1" xfId="0" applyFont="1" applyBorder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3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5" fillId="0" borderId="2" xfId="0" applyFont="1" applyBorder="1"/>
    <xf numFmtId="0" fontId="6" fillId="0" borderId="0" xfId="0" applyFont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7" fillId="2" borderId="0" xfId="0" applyFont="1" applyFill="1" applyAlignment="1">
      <alignment vertical="center" indent="1"/>
    </xf>
    <xf numFmtId="0" fontId="8" fillId="0" borderId="0" xfId="0" applyFont="1" applyAlignment="1">
      <alignment vertical="center" wrapText="1" indent="1"/>
    </xf>
    <xf numFmtId="0" fontId="9" fillId="0" borderId="0" xfId="0" applyFont="1" applyAlignment="1">
      <alignment horizontal="right" vertical="center"/>
    </xf>
    <xf numFmtId="0" fontId="4" fillId="5" borderId="3" xfId="0" applyFont="1" applyFill="1" applyBorder="1"/>
    <xf numFmtId="0" fontId="10" fillId="2" borderId="3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vertical="center" indent="1"/>
    </xf>
    <xf numFmtId="0" fontId="12" fillId="0" borderId="3" xfId="0" applyFont="1" applyBorder="1" applyAlignment="1">
      <alignment horizontal="center" vertical="top" wrapText="1"/>
    </xf>
    <xf numFmtId="0" fontId="13" fillId="6" borderId="3" xfId="0" applyFont="1" applyFill="1" applyBorder="1" applyAlignment="1">
      <alignment horizontal="center" vertical="top" wrapText="1"/>
    </xf>
    <xf numFmtId="0" fontId="0" fillId="0" borderId="3" xfId="0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5" borderId="3" xfId="0" applyFont="1" applyFill="1" applyBorder="1" applyAlignment="1">
      <alignment horizontal="center" vertical="top" wrapText="1"/>
    </xf>
    <xf numFmtId="0" fontId="0" fillId="5" borderId="3" xfId="0" applyFill="1" applyBorder="1" applyAlignment="1">
      <alignment horizontal="left" vertical="top" wrapText="1"/>
    </xf>
    <xf numFmtId="0" fontId="14" fillId="0" borderId="3" xfId="0" applyFont="1" applyBorder="1" applyAlignment="1">
      <alignment horizontal="center" vertical="top" wrapText="1"/>
    </xf>
    <xf numFmtId="0" fontId="10" fillId="7" borderId="3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vertical="center" indent="1"/>
    </xf>
    <xf numFmtId="0" fontId="16" fillId="0" borderId="3" xfId="0" applyFont="1" applyBorder="1" applyAlignment="1">
      <alignment horizontal="center" vertical="top" wrapText="1"/>
    </xf>
    <xf numFmtId="0" fontId="17" fillId="2" borderId="0" xfId="0" applyFont="1" applyFill="1" applyAlignment="1">
      <alignment vertical="center" indent="1"/>
    </xf>
    <xf numFmtId="0" fontId="3" fillId="0" borderId="0" xfId="0" applyFont="1"/>
    <xf numFmtId="0" fontId="10" fillId="8" borderId="3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4" fillId="3" borderId="3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16">
    <dxf>
      <font>
        <b/>
        <color rgb="FFB91C1C"/>
      </font>
      <fill>
        <patternFill patternType="solid">
          <fgColor rgb="FFFEE2E2"/>
        </patternFill>
      </fill>
    </dxf>
    <dxf>
      <font>
        <color rgb="FF6B7280"/>
      </font>
      <fill>
        <patternFill patternType="solid">
          <fgColor rgb="FFF3F4F6"/>
        </patternFill>
      </fill>
    </dxf>
    <dxf>
      <font>
        <b/>
        <color rgb="FFB45309"/>
      </font>
      <fill>
        <patternFill patternType="solid">
          <fgColor rgb="FFFEF3C7"/>
        </patternFill>
      </fill>
    </dxf>
    <dxf>
      <font>
        <b/>
        <color rgb="FF15803D"/>
      </font>
      <fill>
        <patternFill patternType="solid">
          <fgColor rgb="FFDCFCE7"/>
        </patternFill>
      </fill>
    </dxf>
    <dxf>
      <font>
        <b/>
        <color rgb="FFB91C1C"/>
      </font>
      <fill>
        <patternFill patternType="solid">
          <fgColor rgb="FFFEE2E2"/>
        </patternFill>
      </fill>
    </dxf>
    <dxf>
      <font>
        <color rgb="FF6B7280"/>
      </font>
      <fill>
        <patternFill patternType="solid">
          <fgColor rgb="FFF3F4F6"/>
        </patternFill>
      </fill>
    </dxf>
    <dxf>
      <font>
        <b/>
        <color rgb="FFB45309"/>
      </font>
      <fill>
        <patternFill patternType="solid">
          <fgColor rgb="FFFEF3C7"/>
        </patternFill>
      </fill>
    </dxf>
    <dxf>
      <font>
        <b/>
        <color rgb="FF15803D"/>
      </font>
      <fill>
        <patternFill patternType="solid">
          <fgColor rgb="FFDCFCE7"/>
        </patternFill>
      </fill>
    </dxf>
    <dxf>
      <font>
        <b/>
        <color rgb="FFB91C1C"/>
      </font>
      <fill>
        <patternFill patternType="solid">
          <fgColor rgb="FFFEE2E2"/>
        </patternFill>
      </fill>
    </dxf>
    <dxf>
      <font>
        <color rgb="FF6B7280"/>
      </font>
      <fill>
        <patternFill patternType="solid">
          <fgColor rgb="FFF3F4F6"/>
        </patternFill>
      </fill>
    </dxf>
    <dxf>
      <font>
        <b/>
        <color rgb="FFB45309"/>
      </font>
      <fill>
        <patternFill patternType="solid">
          <fgColor rgb="FFFEF3C7"/>
        </patternFill>
      </fill>
    </dxf>
    <dxf>
      <font>
        <b/>
        <color rgb="FF15803D"/>
      </font>
      <fill>
        <patternFill patternType="solid">
          <fgColor rgb="FFDCFCE7"/>
        </patternFill>
      </fill>
    </dxf>
    <dxf>
      <font>
        <b/>
        <color rgb="FFB91C1C"/>
      </font>
      <fill>
        <patternFill patternType="solid">
          <fgColor rgb="FFFEE2E2"/>
        </patternFill>
      </fill>
    </dxf>
    <dxf>
      <font>
        <color rgb="FF6B7280"/>
      </font>
      <fill>
        <patternFill patternType="solid">
          <fgColor rgb="FFF3F4F6"/>
        </patternFill>
      </fill>
    </dxf>
    <dxf>
      <font>
        <b/>
        <color rgb="FFB45309"/>
      </font>
      <fill>
        <patternFill patternType="solid">
          <fgColor rgb="FFFEF3C7"/>
        </patternFill>
      </fill>
    </dxf>
    <dxf>
      <font>
        <b/>
        <color rgb="FF15803D"/>
      </font>
      <fill>
        <patternFill patternType="solid">
          <f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0" customWidth="1"/>
    <col min="3" max="3" width="95" customWidth="1"/>
  </cols>
  <sheetData>
    <row r="1" ht="42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ht="22" customHeight="1" spans="2:3" x14ac:dyDescent="0.25">
      <c r="B4" s="3" t="s">
        <v>2</v>
      </c>
      <c r="C4" s="3"/>
    </row>
    <row r="5" ht="54" customHeight="1" spans="2:3" x14ac:dyDescent="0.25">
      <c r="B5" s="4" t="s">
        <v>3</v>
      </c>
      <c r="C5" s="5" t="s">
        <v>4</v>
      </c>
    </row>
    <row r="6" ht="70" customHeight="1" spans="2:3" x14ac:dyDescent="0.25">
      <c r="B6" s="4" t="s">
        <v>5</v>
      </c>
      <c r="C6" s="5" t="s">
        <v>6</v>
      </c>
    </row>
    <row r="7" ht="54" customHeight="1" spans="2:3" x14ac:dyDescent="0.25">
      <c r="B7" s="4" t="s">
        <v>7</v>
      </c>
      <c r="C7" s="5" t="s">
        <v>8</v>
      </c>
    </row>
    <row r="9" ht="22" customHeight="1" spans="2:3" x14ac:dyDescent="0.25">
      <c r="B9" s="3" t="s">
        <v>9</v>
      </c>
      <c r="C9" s="3"/>
    </row>
    <row r="10" ht="38" customHeight="1" spans="2:3" x14ac:dyDescent="0.25">
      <c r="B10" s="4" t="s">
        <v>10</v>
      </c>
      <c r="C10" s="5" t="s">
        <v>11</v>
      </c>
    </row>
    <row r="11" ht="22" customHeight="1" spans="2:3" x14ac:dyDescent="0.25">
      <c r="B11" s="4" t="s">
        <v>12</v>
      </c>
      <c r="C11" s="5" t="s">
        <v>13</v>
      </c>
    </row>
    <row r="12" ht="38" customHeight="1" spans="2:3" x14ac:dyDescent="0.25">
      <c r="B12" s="4" t="s">
        <v>14</v>
      </c>
      <c r="C12" s="5" t="s">
        <v>15</v>
      </c>
    </row>
    <row r="13" ht="70" customHeight="1" spans="2:3" x14ac:dyDescent="0.25">
      <c r="B13" s="4" t="s">
        <v>16</v>
      </c>
      <c r="C13" s="5" t="s">
        <v>17</v>
      </c>
    </row>
    <row r="14" ht="54" customHeight="1" spans="2:3" x14ac:dyDescent="0.25">
      <c r="B14" s="4" t="s">
        <v>18</v>
      </c>
      <c r="C14" s="5" t="s">
        <v>19</v>
      </c>
    </row>
    <row r="15" ht="70" customHeight="1" spans="2:3" x14ac:dyDescent="0.25">
      <c r="B15" s="6" t="s">
        <v>20</v>
      </c>
      <c r="C15" s="7" t="s">
        <v>21</v>
      </c>
    </row>
    <row r="16" ht="38" customHeight="1" spans="2:3" x14ac:dyDescent="0.25">
      <c r="B16" s="6" t="s">
        <v>22</v>
      </c>
      <c r="C16" s="7" t="s">
        <v>23</v>
      </c>
    </row>
    <row r="18" ht="22" customHeight="1" spans="2:3" x14ac:dyDescent="0.25">
      <c r="B18" s="8" t="s">
        <v>24</v>
      </c>
      <c r="C18" s="8"/>
    </row>
    <row r="19" ht="38" customHeight="1" spans="2:3" x14ac:dyDescent="0.25">
      <c r="B19" s="4" t="s">
        <v>25</v>
      </c>
      <c r="C19" s="9" t="s">
        <v>26</v>
      </c>
    </row>
    <row r="20" ht="22" customHeight="1" spans="2:3" x14ac:dyDescent="0.25">
      <c r="B20" s="4" t="s">
        <v>27</v>
      </c>
      <c r="C20" s="9" t="s">
        <v>28</v>
      </c>
    </row>
    <row r="21" ht="22" customHeight="1" spans="2:3" x14ac:dyDescent="0.25">
      <c r="B21" s="10" t="s">
        <v>29</v>
      </c>
      <c r="C21" s="11" t="s">
        <v>30</v>
      </c>
    </row>
    <row r="23" ht="22" customHeight="1" spans="2:3" x14ac:dyDescent="0.25">
      <c r="B23" s="3" t="s">
        <v>31</v>
      </c>
      <c r="C23" s="3"/>
    </row>
    <row r="24" ht="22" customHeight="1" spans="2:3" x14ac:dyDescent="0.25">
      <c r="B24" s="4" t="s">
        <v>32</v>
      </c>
      <c r="C24" s="5" t="s">
        <v>33</v>
      </c>
    </row>
    <row r="25" ht="22" customHeight="1" spans="2:3" x14ac:dyDescent="0.25">
      <c r="B25" s="4" t="s">
        <v>34</v>
      </c>
      <c r="C25" s="5" t="s">
        <v>35</v>
      </c>
    </row>
    <row r="26" ht="22" customHeight="1" spans="2:3" x14ac:dyDescent="0.25">
      <c r="B26" s="4" t="s">
        <v>36</v>
      </c>
      <c r="C26" s="5" t="s">
        <v>37</v>
      </c>
    </row>
    <row r="27" ht="22" customHeight="1" spans="2:3" x14ac:dyDescent="0.25">
      <c r="B27" s="4" t="s">
        <v>38</v>
      </c>
      <c r="C27" s="5" t="s">
        <v>39</v>
      </c>
    </row>
    <row r="29" ht="22" customHeight="1" spans="2:3" x14ac:dyDescent="0.25">
      <c r="B29" s="3" t="s">
        <v>40</v>
      </c>
      <c r="C29" s="3"/>
    </row>
    <row r="30" ht="22" customHeight="1" spans="2:3" x14ac:dyDescent="0.25">
      <c r="B30" s="4" t="s">
        <v>41</v>
      </c>
      <c r="C30" s="5" t="s">
        <v>42</v>
      </c>
    </row>
    <row r="31" ht="38" customHeight="1" spans="2:3" x14ac:dyDescent="0.25">
      <c r="B31" s="4" t="s">
        <v>43</v>
      </c>
      <c r="C31" s="5" t="s">
        <v>44</v>
      </c>
    </row>
    <row r="32" ht="38" customHeight="1" spans="2:3" x14ac:dyDescent="0.25">
      <c r="B32" s="4" t="s">
        <v>45</v>
      </c>
      <c r="C32" s="5" t="s">
        <v>46</v>
      </c>
    </row>
    <row r="33" ht="22" customHeight="1" spans="2:3" x14ac:dyDescent="0.25">
      <c r="B33" s="4" t="s">
        <v>47</v>
      </c>
      <c r="C33" s="5" t="s">
        <v>48</v>
      </c>
    </row>
    <row r="34" ht="38" customHeight="1" spans="2:3" x14ac:dyDescent="0.25">
      <c r="B34" s="4" t="s">
        <v>49</v>
      </c>
      <c r="C34" s="5" t="s">
        <v>50</v>
      </c>
    </row>
    <row r="35" ht="38" customHeight="1" spans="2:3" x14ac:dyDescent="0.25">
      <c r="B35" s="4" t="s">
        <v>51</v>
      </c>
      <c r="C35" s="5" t="s">
        <v>52</v>
      </c>
    </row>
    <row r="37" ht="22" customHeight="1" spans="2:3" x14ac:dyDescent="0.25">
      <c r="B37" s="8" t="s">
        <v>53</v>
      </c>
      <c r="C37" s="8"/>
    </row>
    <row r="38" ht="38" customHeight="1" spans="2:3" x14ac:dyDescent="0.25">
      <c r="B38" s="4" t="s">
        <v>54</v>
      </c>
      <c r="C38" s="5" t="s">
        <v>55</v>
      </c>
    </row>
    <row r="39" ht="54" customHeight="1" spans="2:3" x14ac:dyDescent="0.25">
      <c r="B39" s="4" t="s">
        <v>56</v>
      </c>
      <c r="C39" s="5" t="s">
        <v>57</v>
      </c>
    </row>
    <row r="40" ht="54" customHeight="1" spans="2:3" x14ac:dyDescent="0.25">
      <c r="B40" s="4" t="s">
        <v>58</v>
      </c>
      <c r="C40" s="5" t="s">
        <v>59</v>
      </c>
    </row>
    <row r="41" ht="22" customHeight="1" spans="2:3" x14ac:dyDescent="0.25">
      <c r="B41" s="4" t="s">
        <v>60</v>
      </c>
      <c r="C41" s="5" t="s">
        <v>61</v>
      </c>
    </row>
    <row r="42" ht="38" customHeight="1" spans="2:3" x14ac:dyDescent="0.25">
      <c r="B42" s="4" t="s">
        <v>62</v>
      </c>
      <c r="C42" s="5" t="s">
        <v>63</v>
      </c>
    </row>
    <row r="43" ht="54" customHeight="1" spans="2:3" x14ac:dyDescent="0.25">
      <c r="B43" s="4" t="s">
        <v>64</v>
      </c>
      <c r="C43" s="5" t="s">
        <v>65</v>
      </c>
    </row>
    <row r="44" ht="38" customHeight="1" spans="2:3" x14ac:dyDescent="0.25">
      <c r="B44" s="4" t="s">
        <v>66</v>
      </c>
      <c r="C44" s="5" t="s">
        <v>67</v>
      </c>
    </row>
  </sheetData>
  <mergeCells count="8">
    <mergeCell ref="A1:C1"/>
    <mergeCell ref="A2:C2"/>
    <mergeCell ref="B4:C4"/>
    <mergeCell ref="B9:C9"/>
    <mergeCell ref="B18:C18"/>
    <mergeCell ref="B23:C23"/>
    <mergeCell ref="B29:C29"/>
    <mergeCell ref="B37:C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1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16" customWidth="1"/>
    <col min="4" max="4" width="30" customWidth="1"/>
    <col min="5" max="5" width="16" customWidth="1"/>
    <col min="6" max="7" width="58" customWidth="1"/>
    <col min="8" max="8" width="13" customWidth="1"/>
    <col min="9" max="9" width="36" customWidth="1"/>
    <col min="10" max="10" width="13" customWidth="1"/>
    <col min="11" max="11" width="36" customWidth="1"/>
  </cols>
  <sheetData>
    <row r="1" ht="34" customHeight="1" spans="1:11" x14ac:dyDescent="0.25">
      <c r="A1" s="12" t="s">
        <v>68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ht="36" customHeight="1" spans="1:11" x14ac:dyDescent="0.25">
      <c r="A2" s="13" t="s">
        <v>69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ht="24" customHeight="1" spans="7:11" x14ac:dyDescent="0.25">
      <c r="G3" s="14" t="s">
        <v>70</v>
      </c>
      <c r="H3" s="15" t="s">
        <v>71</v>
      </c>
      <c r="I3" s="15"/>
      <c r="J3" s="15" t="s">
        <v>72</v>
      </c>
      <c r="K3" s="15"/>
    </row>
    <row r="5" ht="34" customHeight="1" spans="1:11" x14ac:dyDescent="0.25">
      <c r="A5" s="16" t="s">
        <v>73</v>
      </c>
      <c r="B5" s="16" t="s">
        <v>74</v>
      </c>
      <c r="C5" s="16" t="s">
        <v>75</v>
      </c>
      <c r="D5" s="16" t="s">
        <v>76</v>
      </c>
      <c r="E5" s="16" t="s">
        <v>77</v>
      </c>
      <c r="F5" s="16" t="s">
        <v>78</v>
      </c>
      <c r="G5" s="16" t="s">
        <v>79</v>
      </c>
      <c r="H5" s="16" t="s">
        <v>80</v>
      </c>
      <c r="I5" s="16" t="s">
        <v>81</v>
      </c>
      <c r="J5" s="16" t="s">
        <v>82</v>
      </c>
      <c r="K5" s="16" t="s">
        <v>83</v>
      </c>
    </row>
    <row r="6" ht="24" customHeight="1" spans="1:11" x14ac:dyDescent="0.25">
      <c r="A6" s="17" t="s">
        <v>84</v>
      </c>
      <c r="B6" s="17"/>
      <c r="C6" s="17"/>
      <c r="D6" s="17"/>
      <c r="E6" s="17"/>
      <c r="F6" s="17"/>
      <c r="G6" s="17"/>
      <c r="H6" s="17"/>
      <c r="I6" s="17"/>
      <c r="J6" s="17"/>
      <c r="K6" s="17"/>
    </row>
    <row r="7" ht="53" customHeight="1" spans="1:11" x14ac:dyDescent="0.25">
      <c r="A7" s="18" t="s">
        <v>85</v>
      </c>
      <c r="B7" s="19" t="s">
        <v>86</v>
      </c>
      <c r="C7" s="20" t="s">
        <v>87</v>
      </c>
      <c r="D7" s="21" t="s">
        <v>88</v>
      </c>
      <c r="E7" s="20" t="s">
        <v>89</v>
      </c>
      <c r="F7" s="20" t="s">
        <v>90</v>
      </c>
      <c r="G7" s="20" t="s">
        <v>91</v>
      </c>
      <c r="H7" s="22"/>
      <c r="I7" s="23"/>
      <c r="J7" s="22"/>
      <c r="K7" s="23"/>
    </row>
    <row r="8" ht="68" customHeight="1" spans="1:11" x14ac:dyDescent="0.25">
      <c r="A8" s="18" t="s">
        <v>92</v>
      </c>
      <c r="B8" s="19" t="s">
        <v>86</v>
      </c>
      <c r="C8" s="20" t="s">
        <v>87</v>
      </c>
      <c r="D8" s="21" t="s">
        <v>93</v>
      </c>
      <c r="E8" s="20" t="s">
        <v>89</v>
      </c>
      <c r="F8" s="20" t="s">
        <v>94</v>
      </c>
      <c r="G8" s="20" t="s">
        <v>95</v>
      </c>
      <c r="H8" s="22"/>
      <c r="I8" s="23"/>
      <c r="J8" s="22"/>
      <c r="K8" s="23"/>
    </row>
    <row r="9" ht="38" customHeight="1" spans="1:11" x14ac:dyDescent="0.25">
      <c r="A9" s="18" t="s">
        <v>96</v>
      </c>
      <c r="B9" s="24" t="s">
        <v>97</v>
      </c>
      <c r="C9" s="20" t="s">
        <v>87</v>
      </c>
      <c r="D9" s="21" t="s">
        <v>98</v>
      </c>
      <c r="E9" s="20" t="s">
        <v>99</v>
      </c>
      <c r="F9" s="20" t="s">
        <v>100</v>
      </c>
      <c r="G9" s="20" t="s">
        <v>101</v>
      </c>
      <c r="H9" s="22"/>
      <c r="I9" s="23"/>
      <c r="J9" s="22"/>
      <c r="K9" s="23"/>
    </row>
    <row r="10" ht="83" customHeight="1" spans="1:11" x14ac:dyDescent="0.25">
      <c r="A10" s="18" t="s">
        <v>102</v>
      </c>
      <c r="B10" s="24" t="s">
        <v>97</v>
      </c>
      <c r="C10" s="20" t="s">
        <v>103</v>
      </c>
      <c r="D10" s="21" t="s">
        <v>104</v>
      </c>
      <c r="E10" s="20" t="s">
        <v>89</v>
      </c>
      <c r="F10" s="20" t="s">
        <v>105</v>
      </c>
      <c r="G10" s="20" t="s">
        <v>106</v>
      </c>
      <c r="H10" s="22"/>
      <c r="I10" s="23"/>
      <c r="J10" s="22"/>
      <c r="K10" s="23"/>
    </row>
    <row r="11" ht="38" customHeight="1" spans="1:11" x14ac:dyDescent="0.25">
      <c r="A11" s="18" t="s">
        <v>107</v>
      </c>
      <c r="B11" s="24" t="s">
        <v>97</v>
      </c>
      <c r="C11" s="20" t="s">
        <v>103</v>
      </c>
      <c r="D11" s="21" t="s">
        <v>108</v>
      </c>
      <c r="E11" s="20" t="s">
        <v>89</v>
      </c>
      <c r="F11" s="20" t="s">
        <v>109</v>
      </c>
      <c r="G11" s="20" t="s">
        <v>110</v>
      </c>
      <c r="H11" s="22"/>
      <c r="I11" s="23"/>
      <c r="J11" s="22"/>
      <c r="K11" s="23"/>
    </row>
    <row r="12" ht="38" customHeight="1" spans="1:11" x14ac:dyDescent="0.25">
      <c r="A12" s="18" t="s">
        <v>111</v>
      </c>
      <c r="B12" s="19" t="s">
        <v>86</v>
      </c>
      <c r="C12" s="20" t="s">
        <v>103</v>
      </c>
      <c r="D12" s="21" t="s">
        <v>112</v>
      </c>
      <c r="E12" s="20" t="s">
        <v>89</v>
      </c>
      <c r="F12" s="20" t="s">
        <v>113</v>
      </c>
      <c r="G12" s="20" t="s">
        <v>114</v>
      </c>
      <c r="H12" s="22"/>
      <c r="I12" s="23"/>
      <c r="J12" s="22"/>
      <c r="K12" s="23"/>
    </row>
    <row r="13" ht="53" customHeight="1" spans="1:11" x14ac:dyDescent="0.25">
      <c r="A13" s="18" t="s">
        <v>115</v>
      </c>
      <c r="B13" s="24" t="s">
        <v>97</v>
      </c>
      <c r="C13" s="20" t="s">
        <v>103</v>
      </c>
      <c r="D13" s="21" t="s">
        <v>116</v>
      </c>
      <c r="E13" s="20" t="s">
        <v>89</v>
      </c>
      <c r="F13" s="20" t="s">
        <v>117</v>
      </c>
      <c r="G13" s="20" t="s">
        <v>118</v>
      </c>
      <c r="H13" s="22"/>
      <c r="I13" s="23"/>
      <c r="J13" s="22"/>
      <c r="K13" s="23"/>
    </row>
    <row r="14" ht="68" customHeight="1" spans="1:11" x14ac:dyDescent="0.25">
      <c r="A14" s="18" t="s">
        <v>119</v>
      </c>
      <c r="B14" s="24" t="s">
        <v>97</v>
      </c>
      <c r="C14" s="20" t="s">
        <v>103</v>
      </c>
      <c r="D14" s="21" t="s">
        <v>120</v>
      </c>
      <c r="E14" s="20" t="s">
        <v>89</v>
      </c>
      <c r="F14" s="20" t="s">
        <v>121</v>
      </c>
      <c r="G14" s="20" t="s">
        <v>122</v>
      </c>
      <c r="H14" s="22"/>
      <c r="I14" s="23"/>
      <c r="J14" s="22"/>
      <c r="K14" s="23"/>
    </row>
    <row r="15" ht="38" customHeight="1" spans="1:11" x14ac:dyDescent="0.25">
      <c r="A15" s="18" t="s">
        <v>123</v>
      </c>
      <c r="B15" s="24" t="s">
        <v>97</v>
      </c>
      <c r="C15" s="20" t="s">
        <v>103</v>
      </c>
      <c r="D15" s="21" t="s">
        <v>27</v>
      </c>
      <c r="E15" s="20" t="s">
        <v>89</v>
      </c>
      <c r="F15" s="20" t="s">
        <v>124</v>
      </c>
      <c r="G15" s="20" t="s">
        <v>125</v>
      </c>
      <c r="H15" s="22"/>
      <c r="I15" s="23"/>
      <c r="J15" s="22"/>
      <c r="K15" s="23"/>
    </row>
    <row r="16" ht="24" customHeight="1" spans="1:11" x14ac:dyDescent="0.25">
      <c r="A16" s="17" t="s">
        <v>126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</row>
    <row r="17" ht="68" customHeight="1" spans="1:11" x14ac:dyDescent="0.25">
      <c r="A17" s="18" t="s">
        <v>127</v>
      </c>
      <c r="B17" s="19" t="s">
        <v>86</v>
      </c>
      <c r="C17" s="20" t="s">
        <v>128</v>
      </c>
      <c r="D17" s="21" t="s">
        <v>129</v>
      </c>
      <c r="E17" s="20" t="s">
        <v>89</v>
      </c>
      <c r="F17" s="20" t="s">
        <v>130</v>
      </c>
      <c r="G17" s="20" t="s">
        <v>131</v>
      </c>
      <c r="H17" s="22"/>
      <c r="I17" s="23"/>
      <c r="J17" s="22"/>
      <c r="K17" s="23"/>
    </row>
    <row r="18" ht="38" customHeight="1" spans="1:11" x14ac:dyDescent="0.25">
      <c r="A18" s="18" t="s">
        <v>132</v>
      </c>
      <c r="B18" s="19" t="s">
        <v>86</v>
      </c>
      <c r="C18" s="20" t="s">
        <v>128</v>
      </c>
      <c r="D18" s="21" t="s">
        <v>133</v>
      </c>
      <c r="E18" s="20" t="s">
        <v>89</v>
      </c>
      <c r="F18" s="20" t="s">
        <v>134</v>
      </c>
      <c r="G18" s="20" t="s">
        <v>135</v>
      </c>
      <c r="H18" s="22"/>
      <c r="I18" s="23"/>
      <c r="J18" s="22"/>
      <c r="K18" s="23"/>
    </row>
    <row r="19" ht="68" customHeight="1" spans="1:11" x14ac:dyDescent="0.25">
      <c r="A19" s="18" t="s">
        <v>136</v>
      </c>
      <c r="B19" s="19" t="s">
        <v>86</v>
      </c>
      <c r="C19" s="20" t="s">
        <v>128</v>
      </c>
      <c r="D19" s="21" t="s">
        <v>137</v>
      </c>
      <c r="E19" s="20" t="s">
        <v>89</v>
      </c>
      <c r="F19" s="20" t="s">
        <v>138</v>
      </c>
      <c r="G19" s="20" t="s">
        <v>139</v>
      </c>
      <c r="H19" s="22"/>
      <c r="I19" s="23"/>
      <c r="J19" s="22"/>
      <c r="K19" s="23"/>
    </row>
    <row r="20" ht="53" customHeight="1" spans="1:11" x14ac:dyDescent="0.25">
      <c r="A20" s="18" t="s">
        <v>140</v>
      </c>
      <c r="B20" s="19" t="s">
        <v>86</v>
      </c>
      <c r="C20" s="20" t="s">
        <v>128</v>
      </c>
      <c r="D20" s="21" t="s">
        <v>141</v>
      </c>
      <c r="E20" s="20" t="s">
        <v>89</v>
      </c>
      <c r="F20" s="20" t="s">
        <v>142</v>
      </c>
      <c r="G20" s="20" t="s">
        <v>143</v>
      </c>
      <c r="H20" s="22"/>
      <c r="I20" s="23"/>
      <c r="J20" s="22"/>
      <c r="K20" s="23"/>
    </row>
    <row r="21" ht="53" customHeight="1" spans="1:11" x14ac:dyDescent="0.25">
      <c r="A21" s="18" t="s">
        <v>144</v>
      </c>
      <c r="B21" s="19" t="s">
        <v>86</v>
      </c>
      <c r="C21" s="20" t="s">
        <v>128</v>
      </c>
      <c r="D21" s="21" t="s">
        <v>145</v>
      </c>
      <c r="E21" s="20" t="s">
        <v>89</v>
      </c>
      <c r="F21" s="20" t="s">
        <v>146</v>
      </c>
      <c r="G21" s="20" t="s">
        <v>147</v>
      </c>
      <c r="H21" s="22"/>
      <c r="I21" s="23"/>
      <c r="J21" s="22"/>
      <c r="K21" s="23"/>
    </row>
    <row r="22" ht="98" customHeight="1" spans="1:11" x14ac:dyDescent="0.25">
      <c r="A22" s="18" t="s">
        <v>148</v>
      </c>
      <c r="B22" s="19" t="s">
        <v>86</v>
      </c>
      <c r="C22" s="20" t="s">
        <v>128</v>
      </c>
      <c r="D22" s="21" t="s">
        <v>149</v>
      </c>
      <c r="E22" s="20" t="s">
        <v>150</v>
      </c>
      <c r="F22" s="20" t="s">
        <v>151</v>
      </c>
      <c r="G22" s="20" t="s">
        <v>152</v>
      </c>
      <c r="H22" s="22"/>
      <c r="I22" s="23"/>
      <c r="J22" s="22"/>
      <c r="K22" s="23"/>
    </row>
    <row r="23" ht="83" customHeight="1" spans="1:11" x14ac:dyDescent="0.25">
      <c r="A23" s="18" t="s">
        <v>153</v>
      </c>
      <c r="B23" s="19" t="s">
        <v>86</v>
      </c>
      <c r="C23" s="20" t="s">
        <v>128</v>
      </c>
      <c r="D23" s="21" t="s">
        <v>154</v>
      </c>
      <c r="E23" s="20" t="s">
        <v>89</v>
      </c>
      <c r="F23" s="20" t="s">
        <v>155</v>
      </c>
      <c r="G23" s="20" t="s">
        <v>156</v>
      </c>
      <c r="H23" s="22"/>
      <c r="I23" s="23"/>
      <c r="J23" s="22"/>
      <c r="K23" s="23"/>
    </row>
    <row r="24" ht="83" customHeight="1" spans="1:11" x14ac:dyDescent="0.25">
      <c r="A24" s="18" t="s">
        <v>157</v>
      </c>
      <c r="B24" s="19" t="s">
        <v>86</v>
      </c>
      <c r="C24" s="20" t="s">
        <v>128</v>
      </c>
      <c r="D24" s="21" t="s">
        <v>158</v>
      </c>
      <c r="E24" s="20" t="s">
        <v>159</v>
      </c>
      <c r="F24" s="20" t="s">
        <v>160</v>
      </c>
      <c r="G24" s="20" t="s">
        <v>161</v>
      </c>
      <c r="H24" s="22"/>
      <c r="I24" s="23"/>
      <c r="J24" s="22"/>
      <c r="K24" s="23"/>
    </row>
    <row r="25" ht="53" customHeight="1" spans="1:11" x14ac:dyDescent="0.25">
      <c r="A25" s="18" t="s">
        <v>162</v>
      </c>
      <c r="B25" s="19" t="s">
        <v>86</v>
      </c>
      <c r="C25" s="20" t="s">
        <v>128</v>
      </c>
      <c r="D25" s="21" t="s">
        <v>163</v>
      </c>
      <c r="E25" s="20" t="s">
        <v>89</v>
      </c>
      <c r="F25" s="20" t="s">
        <v>164</v>
      </c>
      <c r="G25" s="20" t="s">
        <v>165</v>
      </c>
      <c r="H25" s="22"/>
      <c r="I25" s="23"/>
      <c r="J25" s="22"/>
      <c r="K25" s="23"/>
    </row>
    <row r="26" ht="68" customHeight="1" spans="1:11" x14ac:dyDescent="0.25">
      <c r="A26" s="18" t="s">
        <v>166</v>
      </c>
      <c r="B26" s="19" t="s">
        <v>86</v>
      </c>
      <c r="C26" s="20" t="s">
        <v>128</v>
      </c>
      <c r="D26" s="21" t="s">
        <v>167</v>
      </c>
      <c r="E26" s="20" t="s">
        <v>168</v>
      </c>
      <c r="F26" s="20" t="s">
        <v>169</v>
      </c>
      <c r="G26" s="20" t="s">
        <v>170</v>
      </c>
      <c r="H26" s="22"/>
      <c r="I26" s="23"/>
      <c r="J26" s="22"/>
      <c r="K26" s="23"/>
    </row>
    <row r="27" ht="68" customHeight="1" spans="1:11" x14ac:dyDescent="0.25">
      <c r="A27" s="18" t="s">
        <v>171</v>
      </c>
      <c r="B27" s="19" t="s">
        <v>86</v>
      </c>
      <c r="C27" s="20" t="s">
        <v>128</v>
      </c>
      <c r="D27" s="21" t="s">
        <v>172</v>
      </c>
      <c r="E27" s="20" t="s">
        <v>168</v>
      </c>
      <c r="F27" s="20" t="s">
        <v>173</v>
      </c>
      <c r="G27" s="20" t="s">
        <v>174</v>
      </c>
      <c r="H27" s="22"/>
      <c r="I27" s="23"/>
      <c r="J27" s="22"/>
      <c r="K27" s="23"/>
    </row>
    <row r="28" ht="68" customHeight="1" spans="1:11" x14ac:dyDescent="0.25">
      <c r="A28" s="18" t="s">
        <v>175</v>
      </c>
      <c r="B28" s="19" t="s">
        <v>86</v>
      </c>
      <c r="C28" s="20" t="s">
        <v>128</v>
      </c>
      <c r="D28" s="21" t="s">
        <v>176</v>
      </c>
      <c r="E28" s="20" t="s">
        <v>177</v>
      </c>
      <c r="F28" s="20" t="s">
        <v>178</v>
      </c>
      <c r="G28" s="20" t="s">
        <v>179</v>
      </c>
      <c r="H28" s="22"/>
      <c r="I28" s="23"/>
      <c r="J28" s="22"/>
      <c r="K28" s="23"/>
    </row>
    <row r="29" ht="53" customHeight="1" spans="1:11" x14ac:dyDescent="0.25">
      <c r="A29" s="18" t="s">
        <v>180</v>
      </c>
      <c r="B29" s="19" t="s">
        <v>86</v>
      </c>
      <c r="C29" s="20" t="s">
        <v>128</v>
      </c>
      <c r="D29" s="21" t="s">
        <v>181</v>
      </c>
      <c r="E29" s="20" t="s">
        <v>89</v>
      </c>
      <c r="F29" s="20" t="s">
        <v>182</v>
      </c>
      <c r="G29" s="20" t="s">
        <v>183</v>
      </c>
      <c r="H29" s="22"/>
      <c r="I29" s="23"/>
      <c r="J29" s="22"/>
      <c r="K29" s="23"/>
    </row>
    <row r="30" ht="53" customHeight="1" spans="1:11" x14ac:dyDescent="0.25">
      <c r="A30" s="18" t="s">
        <v>184</v>
      </c>
      <c r="B30" s="24" t="s">
        <v>97</v>
      </c>
      <c r="C30" s="20" t="s">
        <v>128</v>
      </c>
      <c r="D30" s="21" t="s">
        <v>185</v>
      </c>
      <c r="E30" s="20" t="s">
        <v>89</v>
      </c>
      <c r="F30" s="20" t="s">
        <v>186</v>
      </c>
      <c r="G30" s="20" t="s">
        <v>187</v>
      </c>
      <c r="H30" s="22"/>
      <c r="I30" s="23"/>
      <c r="J30" s="22"/>
      <c r="K30" s="23"/>
    </row>
    <row r="31" ht="83" customHeight="1" spans="1:11" x14ac:dyDescent="0.25">
      <c r="A31" s="18" t="s">
        <v>188</v>
      </c>
      <c r="B31" s="19" t="s">
        <v>86</v>
      </c>
      <c r="C31" s="20" t="s">
        <v>128</v>
      </c>
      <c r="D31" s="21" t="s">
        <v>189</v>
      </c>
      <c r="E31" s="20" t="s">
        <v>190</v>
      </c>
      <c r="F31" s="20" t="s">
        <v>191</v>
      </c>
      <c r="G31" s="20" t="s">
        <v>192</v>
      </c>
      <c r="H31" s="22"/>
      <c r="I31" s="23"/>
      <c r="J31" s="22"/>
      <c r="K31" s="23"/>
    </row>
    <row r="32" ht="53" customHeight="1" spans="1:11" x14ac:dyDescent="0.25">
      <c r="A32" s="18" t="s">
        <v>193</v>
      </c>
      <c r="B32" s="19" t="s">
        <v>86</v>
      </c>
      <c r="C32" s="20" t="s">
        <v>194</v>
      </c>
      <c r="D32" s="21" t="s">
        <v>195</v>
      </c>
      <c r="E32" s="20" t="s">
        <v>89</v>
      </c>
      <c r="F32" s="20" t="s">
        <v>196</v>
      </c>
      <c r="G32" s="20" t="s">
        <v>197</v>
      </c>
      <c r="H32" s="22"/>
      <c r="I32" s="23"/>
      <c r="J32" s="22"/>
      <c r="K32" s="23"/>
    </row>
    <row r="33" ht="24" customHeight="1" spans="1:11" x14ac:dyDescent="0.25">
      <c r="A33" s="17" t="s">
        <v>198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ht="53" customHeight="1" spans="1:11" x14ac:dyDescent="0.25">
      <c r="A34" s="18" t="s">
        <v>199</v>
      </c>
      <c r="B34" s="19" t="s">
        <v>86</v>
      </c>
      <c r="C34" s="20" t="s">
        <v>200</v>
      </c>
      <c r="D34" s="21" t="s">
        <v>201</v>
      </c>
      <c r="E34" s="20" t="s">
        <v>89</v>
      </c>
      <c r="F34" s="20" t="s">
        <v>202</v>
      </c>
      <c r="G34" s="20" t="s">
        <v>203</v>
      </c>
      <c r="H34" s="22"/>
      <c r="I34" s="23"/>
      <c r="J34" s="22"/>
      <c r="K34" s="23"/>
    </row>
    <row r="35" ht="98" customHeight="1" spans="1:11" x14ac:dyDescent="0.25">
      <c r="A35" s="18" t="s">
        <v>204</v>
      </c>
      <c r="B35" s="19" t="s">
        <v>86</v>
      </c>
      <c r="C35" s="20" t="s">
        <v>200</v>
      </c>
      <c r="D35" s="21" t="s">
        <v>205</v>
      </c>
      <c r="E35" s="20" t="s">
        <v>89</v>
      </c>
      <c r="F35" s="20" t="s">
        <v>206</v>
      </c>
      <c r="G35" s="20" t="s">
        <v>207</v>
      </c>
      <c r="H35" s="22"/>
      <c r="I35" s="23"/>
      <c r="J35" s="22"/>
      <c r="K35" s="23"/>
    </row>
    <row r="36" ht="53" customHeight="1" spans="1:11" x14ac:dyDescent="0.25">
      <c r="A36" s="18" t="s">
        <v>208</v>
      </c>
      <c r="B36" s="19" t="s">
        <v>86</v>
      </c>
      <c r="C36" s="20" t="s">
        <v>200</v>
      </c>
      <c r="D36" s="21" t="s">
        <v>209</v>
      </c>
      <c r="E36" s="20" t="s">
        <v>89</v>
      </c>
      <c r="F36" s="20" t="s">
        <v>210</v>
      </c>
      <c r="G36" s="20" t="s">
        <v>211</v>
      </c>
      <c r="H36" s="22"/>
      <c r="I36" s="23"/>
      <c r="J36" s="22"/>
      <c r="K36" s="23"/>
    </row>
    <row r="37" ht="38" customHeight="1" spans="1:11" x14ac:dyDescent="0.25">
      <c r="A37" s="18" t="s">
        <v>212</v>
      </c>
      <c r="B37" s="19" t="s">
        <v>86</v>
      </c>
      <c r="C37" s="20" t="s">
        <v>200</v>
      </c>
      <c r="D37" s="21" t="s">
        <v>213</v>
      </c>
      <c r="E37" s="20" t="s">
        <v>89</v>
      </c>
      <c r="F37" s="20" t="s">
        <v>214</v>
      </c>
      <c r="G37" s="20" t="s">
        <v>215</v>
      </c>
      <c r="H37" s="22"/>
      <c r="I37" s="23"/>
      <c r="J37" s="22"/>
      <c r="K37" s="23"/>
    </row>
    <row r="38" ht="53" customHeight="1" spans="1:11" x14ac:dyDescent="0.25">
      <c r="A38" s="18" t="s">
        <v>216</v>
      </c>
      <c r="B38" s="19" t="s">
        <v>86</v>
      </c>
      <c r="C38" s="20" t="s">
        <v>200</v>
      </c>
      <c r="D38" s="21" t="s">
        <v>217</v>
      </c>
      <c r="E38" s="20" t="s">
        <v>159</v>
      </c>
      <c r="F38" s="20" t="s">
        <v>218</v>
      </c>
      <c r="G38" s="20" t="s">
        <v>219</v>
      </c>
      <c r="H38" s="22"/>
      <c r="I38" s="23"/>
      <c r="J38" s="22"/>
      <c r="K38" s="23"/>
    </row>
    <row r="39" ht="83" customHeight="1" spans="1:11" x14ac:dyDescent="0.25">
      <c r="A39" s="18" t="s">
        <v>220</v>
      </c>
      <c r="B39" s="19" t="s">
        <v>86</v>
      </c>
      <c r="C39" s="20" t="s">
        <v>221</v>
      </c>
      <c r="D39" s="21" t="s">
        <v>222</v>
      </c>
      <c r="E39" s="20" t="s">
        <v>89</v>
      </c>
      <c r="F39" s="20" t="s">
        <v>223</v>
      </c>
      <c r="G39" s="20" t="s">
        <v>224</v>
      </c>
      <c r="H39" s="22"/>
      <c r="I39" s="23"/>
      <c r="J39" s="22"/>
      <c r="K39" s="23"/>
    </row>
    <row r="40" ht="38" customHeight="1" spans="1:11" x14ac:dyDescent="0.25">
      <c r="A40" s="18" t="s">
        <v>225</v>
      </c>
      <c r="B40" s="19" t="s">
        <v>86</v>
      </c>
      <c r="C40" s="20" t="s">
        <v>221</v>
      </c>
      <c r="D40" s="21" t="s">
        <v>226</v>
      </c>
      <c r="E40" s="20" t="s">
        <v>177</v>
      </c>
      <c r="F40" s="20" t="s">
        <v>227</v>
      </c>
      <c r="G40" s="20" t="s">
        <v>228</v>
      </c>
      <c r="H40" s="22"/>
      <c r="I40" s="23"/>
      <c r="J40" s="22"/>
      <c r="K40" s="23"/>
    </row>
    <row r="41" ht="68" customHeight="1" spans="1:11" x14ac:dyDescent="0.25">
      <c r="A41" s="18" t="s">
        <v>229</v>
      </c>
      <c r="B41" s="24" t="s">
        <v>97</v>
      </c>
      <c r="C41" s="20" t="s">
        <v>221</v>
      </c>
      <c r="D41" s="21" t="s">
        <v>230</v>
      </c>
      <c r="E41" s="20" t="s">
        <v>89</v>
      </c>
      <c r="F41" s="20" t="s">
        <v>231</v>
      </c>
      <c r="G41" s="20" t="s">
        <v>232</v>
      </c>
      <c r="H41" s="22"/>
      <c r="I41" s="23"/>
      <c r="J41" s="22"/>
      <c r="K41" s="23"/>
    </row>
    <row r="42" ht="24" customHeight="1" spans="1:11" x14ac:dyDescent="0.25">
      <c r="A42" s="17" t="s">
        <v>233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ht="68" customHeight="1" spans="1:11" x14ac:dyDescent="0.25">
      <c r="A43" s="18" t="s">
        <v>234</v>
      </c>
      <c r="B43" s="19" t="s">
        <v>86</v>
      </c>
      <c r="C43" s="20" t="s">
        <v>235</v>
      </c>
      <c r="D43" s="21" t="s">
        <v>236</v>
      </c>
      <c r="E43" s="20" t="s">
        <v>89</v>
      </c>
      <c r="F43" s="20" t="s">
        <v>237</v>
      </c>
      <c r="G43" s="20" t="s">
        <v>238</v>
      </c>
      <c r="H43" s="22"/>
      <c r="I43" s="23"/>
      <c r="J43" s="22"/>
      <c r="K43" s="23"/>
    </row>
    <row r="44" ht="38" customHeight="1" spans="1:11" x14ac:dyDescent="0.25">
      <c r="A44" s="18" t="s">
        <v>239</v>
      </c>
      <c r="B44" s="19" t="s">
        <v>86</v>
      </c>
      <c r="C44" s="20" t="s">
        <v>235</v>
      </c>
      <c r="D44" s="21" t="s">
        <v>240</v>
      </c>
      <c r="E44" s="20" t="s">
        <v>89</v>
      </c>
      <c r="F44" s="20" t="s">
        <v>241</v>
      </c>
      <c r="G44" s="20" t="s">
        <v>242</v>
      </c>
      <c r="H44" s="22"/>
      <c r="I44" s="23"/>
      <c r="J44" s="22"/>
      <c r="K44" s="23"/>
    </row>
    <row r="45" ht="24" customHeight="1" spans="1:11" x14ac:dyDescent="0.25">
      <c r="A45" s="17" t="s">
        <v>243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</row>
    <row r="46" ht="38" customHeight="1" spans="1:11" x14ac:dyDescent="0.25">
      <c r="A46" s="18" t="s">
        <v>244</v>
      </c>
      <c r="B46" s="24" t="s">
        <v>97</v>
      </c>
      <c r="C46" s="20" t="s">
        <v>245</v>
      </c>
      <c r="D46" s="21" t="s">
        <v>246</v>
      </c>
      <c r="E46" s="20" t="s">
        <v>177</v>
      </c>
      <c r="F46" s="20" t="s">
        <v>247</v>
      </c>
      <c r="G46" s="20" t="s">
        <v>248</v>
      </c>
      <c r="H46" s="22"/>
      <c r="I46" s="23"/>
      <c r="J46" s="22"/>
      <c r="K46" s="23"/>
    </row>
    <row r="47" ht="83" customHeight="1" spans="1:11" x14ac:dyDescent="0.25">
      <c r="A47" s="18" t="s">
        <v>249</v>
      </c>
      <c r="B47" s="24" t="s">
        <v>97</v>
      </c>
      <c r="C47" s="20" t="s">
        <v>245</v>
      </c>
      <c r="D47" s="21" t="s">
        <v>250</v>
      </c>
      <c r="E47" s="20" t="s">
        <v>89</v>
      </c>
      <c r="F47" s="20" t="s">
        <v>251</v>
      </c>
      <c r="G47" s="20" t="s">
        <v>252</v>
      </c>
      <c r="H47" s="22"/>
      <c r="I47" s="23"/>
      <c r="J47" s="22"/>
      <c r="K47" s="23"/>
    </row>
    <row r="48" ht="53" customHeight="1" spans="1:11" x14ac:dyDescent="0.25">
      <c r="A48" s="18" t="s">
        <v>253</v>
      </c>
      <c r="B48" s="24" t="s">
        <v>97</v>
      </c>
      <c r="C48" s="20" t="s">
        <v>245</v>
      </c>
      <c r="D48" s="21" t="s">
        <v>254</v>
      </c>
      <c r="E48" s="20" t="s">
        <v>89</v>
      </c>
      <c r="F48" s="20" t="s">
        <v>255</v>
      </c>
      <c r="G48" s="20" t="s">
        <v>256</v>
      </c>
      <c r="H48" s="22"/>
      <c r="I48" s="23"/>
      <c r="J48" s="22"/>
      <c r="K48" s="23"/>
    </row>
    <row r="49" ht="24" customHeight="1" spans="1:11" x14ac:dyDescent="0.25">
      <c r="A49" s="17" t="s">
        <v>257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</row>
    <row r="50" ht="68" customHeight="1" spans="1:11" x14ac:dyDescent="0.25">
      <c r="A50" s="18" t="s">
        <v>258</v>
      </c>
      <c r="B50" s="24" t="s">
        <v>97</v>
      </c>
      <c r="C50" s="20" t="s">
        <v>259</v>
      </c>
      <c r="D50" s="21" t="s">
        <v>260</v>
      </c>
      <c r="E50" s="20" t="s">
        <v>99</v>
      </c>
      <c r="F50" s="20" t="s">
        <v>261</v>
      </c>
      <c r="G50" s="20" t="s">
        <v>262</v>
      </c>
      <c r="H50" s="22"/>
      <c r="I50" s="23"/>
      <c r="J50" s="22"/>
      <c r="K50" s="23"/>
    </row>
    <row r="51" ht="38" customHeight="1" spans="1:11" x14ac:dyDescent="0.25">
      <c r="A51" s="18" t="s">
        <v>263</v>
      </c>
      <c r="B51" s="19" t="s">
        <v>86</v>
      </c>
      <c r="C51" s="20" t="s">
        <v>264</v>
      </c>
      <c r="D51" s="21" t="s">
        <v>265</v>
      </c>
      <c r="E51" s="20" t="s">
        <v>89</v>
      </c>
      <c r="F51" s="20" t="s">
        <v>266</v>
      </c>
      <c r="G51" s="20" t="s">
        <v>267</v>
      </c>
      <c r="H51" s="22"/>
      <c r="I51" s="23"/>
      <c r="J51" s="22"/>
      <c r="K51" s="23"/>
    </row>
  </sheetData>
  <autoFilter ref="A5:K51"/>
  <mergeCells count="10">
    <mergeCell ref="A1:K1"/>
    <mergeCell ref="A2:K2"/>
    <mergeCell ref="H3:I3"/>
    <mergeCell ref="J3:K3"/>
    <mergeCell ref="A6:K6"/>
    <mergeCell ref="A16:K16"/>
    <mergeCell ref="A33:K33"/>
    <mergeCell ref="A42:K42"/>
    <mergeCell ref="A45:K45"/>
    <mergeCell ref="A49:K49"/>
  </mergeCells>
  <conditionalFormatting sqref="H6:H51">
    <cfRule type="containsText" dxfId="0" priority="1">
      <formula>NOT(ISERROR(SEARCH("NON OK",H6)))</formula>
    </cfRule>
    <cfRule type="containsText" dxfId="1" priority="2">
      <formula>NOT(ISERROR(SEARCH("NON PROVATO",H6)))</formula>
    </cfRule>
    <cfRule type="containsText" dxfId="2" priority="3">
      <formula>NOT(ISERROR(SEARCH("BLOCCATO",H6)))</formula>
    </cfRule>
    <cfRule type="cellIs" dxfId="3" priority="4" operator="equal">
      <formula>"OK"</formula>
    </cfRule>
  </conditionalFormatting>
  <conditionalFormatting sqref="J6:J51">
    <cfRule type="containsText" dxfId="4" priority="1">
      <formula>NOT(ISERROR(SEARCH("NON OK",J6)))</formula>
    </cfRule>
    <cfRule type="containsText" dxfId="5" priority="2">
      <formula>NOT(ISERROR(SEARCH("NON PROVATO",J6)))</formula>
    </cfRule>
    <cfRule type="containsText" dxfId="6" priority="3">
      <formula>NOT(ISERROR(SEARCH("BLOCCATO",J6)))</formula>
    </cfRule>
    <cfRule type="cellIs" dxfId="7" priority="4" operator="equal">
      <formula>"OK"</formula>
    </cfRule>
  </conditionalFormatting>
  <dataValidations count="14">
    <dataValidation type="list" allowBlank="1" showErrorMessage="1" errorTitle="Esito" error="Scegli dal menu: OK, NON OK, BLOCCATO, NON PROVATO" sqref="H10:H15">
      <formula1>"OK,NON OK,BLOCCATO,NON PROVATO"</formula1>
    </dataValidation>
    <dataValidation type="list" allowBlank="1" showErrorMessage="1" errorTitle="Esito" error="Scegli dal menu: OK, NON OK, BLOCCATO, NON PROVATO" sqref="H17:H32">
      <formula1>"OK,NON OK,BLOCCATO,NON PROVATO"</formula1>
    </dataValidation>
    <dataValidation type="list" allowBlank="1" showErrorMessage="1" errorTitle="Esito" error="Scegli dal menu: OK, NON OK, BLOCCATO, NON PROVATO" sqref="H34:H41">
      <formula1>"OK,NON OK,BLOCCATO,NON PROVATO"</formula1>
    </dataValidation>
    <dataValidation type="list" allowBlank="1" showErrorMessage="1" errorTitle="Esito" error="Scegli dal menu: OK, NON OK, BLOCCATO, NON PROVATO" sqref="H43:H44">
      <formula1>"OK,NON OK,BLOCCATO,NON PROVATO"</formula1>
    </dataValidation>
    <dataValidation type="list" allowBlank="1" showErrorMessage="1" errorTitle="Esito" error="Scegli dal menu: OK, NON OK, BLOCCATO, NON PROVATO" sqref="H46:H48">
      <formula1>"OK,NON OK,BLOCCATO,NON PROVATO"</formula1>
    </dataValidation>
    <dataValidation type="list" allowBlank="1" showErrorMessage="1" errorTitle="Esito" error="Scegli dal menu: OK, NON OK, BLOCCATO, NON PROVATO" sqref="H50:H51">
      <formula1>"OK,NON OK,BLOCCATO,NON PROVATO"</formula1>
    </dataValidation>
    <dataValidation type="list" allowBlank="1" showErrorMessage="1" errorTitle="Esito" error="Scegli dal menu: OK, NON OK, BLOCCATO, NON PROVATO" sqref="H7:H15">
      <formula1>"OK,NON OK,BLOCCATO,NON PROVATO"</formula1>
    </dataValidation>
    <dataValidation type="list" allowBlank="1" showErrorMessage="1" errorTitle="Esito" error="Scegli dal menu: OK, NON OK, BLOCCATO, NON PROVATO" sqref="J10:J15">
      <formula1>"OK,NON OK,BLOCCATO,NON PROVATO"</formula1>
    </dataValidation>
    <dataValidation type="list" allowBlank="1" showErrorMessage="1" errorTitle="Esito" error="Scegli dal menu: OK, NON OK, BLOCCATO, NON PROVATO" sqref="J17:J32">
      <formula1>"OK,NON OK,BLOCCATO,NON PROVATO"</formula1>
    </dataValidation>
    <dataValidation type="list" allowBlank="1" showErrorMessage="1" errorTitle="Esito" error="Scegli dal menu: OK, NON OK, BLOCCATO, NON PROVATO" sqref="J34:J41">
      <formula1>"OK,NON OK,BLOCCATO,NON PROVATO"</formula1>
    </dataValidation>
    <dataValidation type="list" allowBlank="1" showErrorMessage="1" errorTitle="Esito" error="Scegli dal menu: OK, NON OK, BLOCCATO, NON PROVATO" sqref="J43:J44">
      <formula1>"OK,NON OK,BLOCCATO,NON PROVATO"</formula1>
    </dataValidation>
    <dataValidation type="list" allowBlank="1" showErrorMessage="1" errorTitle="Esito" error="Scegli dal menu: OK, NON OK, BLOCCATO, NON PROVATO" sqref="J46:J48">
      <formula1>"OK,NON OK,BLOCCATO,NON PROVATO"</formula1>
    </dataValidation>
    <dataValidation type="list" allowBlank="1" showErrorMessage="1" errorTitle="Esito" error="Scegli dal menu: OK, NON OK, BLOCCATO, NON PROVATO" sqref="J50:J51">
      <formula1>"OK,NON OK,BLOCCATO,NON PROVATO"</formula1>
    </dataValidation>
    <dataValidation type="list" allowBlank="1" showErrorMessage="1" errorTitle="Esito" error="Scegli dal menu: OK, NON OK, BLOCCATO, NON PROVATO" sqref="J7:J15">
      <formula1>"OK,NON OK,BLOCCATO,NON PROVATO"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0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16" customWidth="1"/>
    <col min="4" max="4" width="30" customWidth="1"/>
    <col min="5" max="5" width="16" customWidth="1"/>
    <col min="6" max="7" width="58" customWidth="1"/>
    <col min="8" max="8" width="13" customWidth="1"/>
    <col min="9" max="9" width="36" customWidth="1"/>
    <col min="10" max="10" width="13" customWidth="1"/>
    <col min="11" max="11" width="36" customWidth="1"/>
  </cols>
  <sheetData>
    <row r="1" ht="34" customHeight="1" spans="1:11" x14ac:dyDescent="0.25">
      <c r="A1" s="12" t="s">
        <v>268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ht="36" customHeight="1" spans="1:11" x14ac:dyDescent="0.25">
      <c r="A2" s="13" t="s">
        <v>269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ht="24" customHeight="1" spans="7:11" x14ac:dyDescent="0.25">
      <c r="G3" s="14" t="s">
        <v>70</v>
      </c>
      <c r="H3" s="15" t="s">
        <v>71</v>
      </c>
      <c r="I3" s="15"/>
      <c r="J3" s="15" t="s">
        <v>72</v>
      </c>
      <c r="K3" s="15"/>
    </row>
    <row r="5" ht="34" customHeight="1" spans="1:11" x14ac:dyDescent="0.25">
      <c r="A5" s="25" t="s">
        <v>73</v>
      </c>
      <c r="B5" s="25" t="s">
        <v>74</v>
      </c>
      <c r="C5" s="25" t="s">
        <v>75</v>
      </c>
      <c r="D5" s="25" t="s">
        <v>76</v>
      </c>
      <c r="E5" s="25" t="s">
        <v>77</v>
      </c>
      <c r="F5" s="25" t="s">
        <v>78</v>
      </c>
      <c r="G5" s="25" t="s">
        <v>79</v>
      </c>
      <c r="H5" s="25" t="s">
        <v>80</v>
      </c>
      <c r="I5" s="25" t="s">
        <v>81</v>
      </c>
      <c r="J5" s="25" t="s">
        <v>82</v>
      </c>
      <c r="K5" s="25" t="s">
        <v>83</v>
      </c>
    </row>
    <row r="6" ht="24" customHeight="1" spans="1:11" x14ac:dyDescent="0.25">
      <c r="A6" s="26" t="s">
        <v>270</v>
      </c>
      <c r="B6" s="26"/>
      <c r="C6" s="26"/>
      <c r="D6" s="26"/>
      <c r="E6" s="26"/>
      <c r="F6" s="26"/>
      <c r="G6" s="26"/>
      <c r="H6" s="26"/>
      <c r="I6" s="26"/>
      <c r="J6" s="26"/>
      <c r="K6" s="26"/>
    </row>
    <row r="7" ht="38" customHeight="1" spans="1:11" x14ac:dyDescent="0.25">
      <c r="A7" s="27" t="s">
        <v>271</v>
      </c>
      <c r="B7" s="24" t="s">
        <v>97</v>
      </c>
      <c r="C7" s="20" t="s">
        <v>272</v>
      </c>
      <c r="D7" s="21" t="s">
        <v>273</v>
      </c>
      <c r="E7" s="20" t="s">
        <v>36</v>
      </c>
      <c r="F7" s="20" t="s">
        <v>274</v>
      </c>
      <c r="G7" s="20" t="s">
        <v>275</v>
      </c>
      <c r="H7" s="22"/>
      <c r="I7" s="23"/>
      <c r="J7" s="22"/>
      <c r="K7" s="23"/>
    </row>
    <row r="8" ht="53" customHeight="1" spans="1:11" x14ac:dyDescent="0.25">
      <c r="A8" s="27" t="s">
        <v>276</v>
      </c>
      <c r="B8" s="19" t="s">
        <v>86</v>
      </c>
      <c r="C8" s="20" t="s">
        <v>272</v>
      </c>
      <c r="D8" s="21" t="s">
        <v>277</v>
      </c>
      <c r="E8" s="20" t="s">
        <v>36</v>
      </c>
      <c r="F8" s="20" t="s">
        <v>278</v>
      </c>
      <c r="G8" s="20" t="s">
        <v>279</v>
      </c>
      <c r="H8" s="22"/>
      <c r="I8" s="23"/>
      <c r="J8" s="22"/>
      <c r="K8" s="23"/>
    </row>
    <row r="9" ht="53" customHeight="1" spans="1:11" x14ac:dyDescent="0.25">
      <c r="A9" s="27" t="s">
        <v>280</v>
      </c>
      <c r="B9" s="19" t="s">
        <v>86</v>
      </c>
      <c r="C9" s="20" t="s">
        <v>281</v>
      </c>
      <c r="D9" s="21" t="s">
        <v>282</v>
      </c>
      <c r="E9" s="20" t="s">
        <v>36</v>
      </c>
      <c r="F9" s="20" t="s">
        <v>283</v>
      </c>
      <c r="G9" s="20" t="s">
        <v>284</v>
      </c>
      <c r="H9" s="22"/>
      <c r="I9" s="23"/>
      <c r="J9" s="22"/>
      <c r="K9" s="23"/>
    </row>
    <row r="10" ht="53" customHeight="1" spans="1:11" x14ac:dyDescent="0.25">
      <c r="A10" s="27" t="s">
        <v>285</v>
      </c>
      <c r="B10" s="19" t="s">
        <v>86</v>
      </c>
      <c r="C10" s="20" t="s">
        <v>286</v>
      </c>
      <c r="D10" s="21" t="s">
        <v>287</v>
      </c>
      <c r="E10" s="20" t="s">
        <v>36</v>
      </c>
      <c r="F10" s="20" t="s">
        <v>288</v>
      </c>
      <c r="G10" s="20" t="s">
        <v>289</v>
      </c>
      <c r="H10" s="22"/>
      <c r="I10" s="23"/>
      <c r="J10" s="22"/>
      <c r="K10" s="23"/>
    </row>
    <row r="11" ht="38" customHeight="1" spans="1:11" x14ac:dyDescent="0.25">
      <c r="A11" s="27" t="s">
        <v>290</v>
      </c>
      <c r="B11" s="19" t="s">
        <v>86</v>
      </c>
      <c r="C11" s="20" t="s">
        <v>286</v>
      </c>
      <c r="D11" s="21" t="s">
        <v>291</v>
      </c>
      <c r="E11" s="20" t="s">
        <v>36</v>
      </c>
      <c r="F11" s="20" t="s">
        <v>292</v>
      </c>
      <c r="G11" s="20" t="s">
        <v>293</v>
      </c>
      <c r="H11" s="22"/>
      <c r="I11" s="23"/>
      <c r="J11" s="22"/>
      <c r="K11" s="23"/>
    </row>
    <row r="12" ht="53" customHeight="1" spans="1:11" x14ac:dyDescent="0.25">
      <c r="A12" s="27" t="s">
        <v>294</v>
      </c>
      <c r="B12" s="19" t="s">
        <v>86</v>
      </c>
      <c r="C12" s="20" t="s">
        <v>286</v>
      </c>
      <c r="D12" s="21" t="s">
        <v>295</v>
      </c>
      <c r="E12" s="20" t="s">
        <v>36</v>
      </c>
      <c r="F12" s="20" t="s">
        <v>296</v>
      </c>
      <c r="G12" s="20" t="s">
        <v>297</v>
      </c>
      <c r="H12" s="22"/>
      <c r="I12" s="23"/>
      <c r="J12" s="22"/>
      <c r="K12" s="23"/>
    </row>
    <row r="13" ht="38" customHeight="1" spans="1:11" x14ac:dyDescent="0.25">
      <c r="A13" s="27" t="s">
        <v>298</v>
      </c>
      <c r="B13" s="19" t="s">
        <v>86</v>
      </c>
      <c r="C13" s="20" t="s">
        <v>286</v>
      </c>
      <c r="D13" s="21" t="s">
        <v>299</v>
      </c>
      <c r="E13" s="20" t="s">
        <v>36</v>
      </c>
      <c r="F13" s="20" t="s">
        <v>300</v>
      </c>
      <c r="G13" s="20" t="s">
        <v>301</v>
      </c>
      <c r="H13" s="22"/>
      <c r="I13" s="23"/>
      <c r="J13" s="22"/>
      <c r="K13" s="23"/>
    </row>
    <row r="14" ht="24" customHeight="1" spans="1:11" x14ac:dyDescent="0.25">
      <c r="A14" s="26" t="s">
        <v>302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</row>
    <row r="15" ht="38" customHeight="1" spans="1:11" x14ac:dyDescent="0.25">
      <c r="A15" s="27" t="s">
        <v>303</v>
      </c>
      <c r="B15" s="24" t="s">
        <v>97</v>
      </c>
      <c r="C15" s="20" t="s">
        <v>304</v>
      </c>
      <c r="D15" s="21" t="s">
        <v>305</v>
      </c>
      <c r="E15" s="20" t="s">
        <v>36</v>
      </c>
      <c r="F15" s="20" t="s">
        <v>306</v>
      </c>
      <c r="G15" s="20" t="s">
        <v>307</v>
      </c>
      <c r="H15" s="22"/>
      <c r="I15" s="23"/>
      <c r="J15" s="22"/>
      <c r="K15" s="23"/>
    </row>
    <row r="16" ht="83" customHeight="1" spans="1:11" x14ac:dyDescent="0.25">
      <c r="A16" s="27" t="s">
        <v>308</v>
      </c>
      <c r="B16" s="24" t="s">
        <v>97</v>
      </c>
      <c r="C16" s="20" t="s">
        <v>304</v>
      </c>
      <c r="D16" s="21" t="s">
        <v>309</v>
      </c>
      <c r="E16" s="20" t="s">
        <v>36</v>
      </c>
      <c r="F16" s="20" t="s">
        <v>310</v>
      </c>
      <c r="G16" s="20" t="s">
        <v>311</v>
      </c>
      <c r="H16" s="22"/>
      <c r="I16" s="23"/>
      <c r="J16" s="22"/>
      <c r="K16" s="23"/>
    </row>
    <row r="17" ht="53" customHeight="1" spans="1:11" x14ac:dyDescent="0.25">
      <c r="A17" s="27" t="s">
        <v>312</v>
      </c>
      <c r="B17" s="24" t="s">
        <v>97</v>
      </c>
      <c r="C17" s="20" t="s">
        <v>304</v>
      </c>
      <c r="D17" s="21" t="s">
        <v>313</v>
      </c>
      <c r="E17" s="20" t="s">
        <v>314</v>
      </c>
      <c r="F17" s="20" t="s">
        <v>315</v>
      </c>
      <c r="G17" s="20" t="s">
        <v>316</v>
      </c>
      <c r="H17" s="22"/>
      <c r="I17" s="23"/>
      <c r="J17" s="22"/>
      <c r="K17" s="23"/>
    </row>
    <row r="18" ht="38" customHeight="1" spans="1:11" x14ac:dyDescent="0.25">
      <c r="A18" s="27" t="s">
        <v>317</v>
      </c>
      <c r="B18" s="19" t="s">
        <v>86</v>
      </c>
      <c r="C18" s="20" t="s">
        <v>304</v>
      </c>
      <c r="D18" s="21" t="s">
        <v>318</v>
      </c>
      <c r="E18" s="20" t="s">
        <v>36</v>
      </c>
      <c r="F18" s="20" t="s">
        <v>319</v>
      </c>
      <c r="G18" s="20" t="s">
        <v>320</v>
      </c>
      <c r="H18" s="22"/>
      <c r="I18" s="23"/>
      <c r="J18" s="22"/>
      <c r="K18" s="23"/>
    </row>
    <row r="19" ht="38" customHeight="1" spans="1:11" x14ac:dyDescent="0.25">
      <c r="A19" s="27" t="s">
        <v>321</v>
      </c>
      <c r="B19" s="24" t="s">
        <v>97</v>
      </c>
      <c r="C19" s="20" t="s">
        <v>304</v>
      </c>
      <c r="D19" s="21" t="s">
        <v>322</v>
      </c>
      <c r="E19" s="20" t="s">
        <v>36</v>
      </c>
      <c r="F19" s="20" t="s">
        <v>323</v>
      </c>
      <c r="G19" s="20" t="s">
        <v>324</v>
      </c>
      <c r="H19" s="22"/>
      <c r="I19" s="23"/>
      <c r="J19" s="22"/>
      <c r="K19" s="23"/>
    </row>
    <row r="20" ht="24" customHeight="1" spans="1:11" x14ac:dyDescent="0.25">
      <c r="A20" s="26" t="s">
        <v>325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</row>
    <row r="21" ht="68" customHeight="1" spans="1:11" x14ac:dyDescent="0.25">
      <c r="A21" s="27" t="s">
        <v>326</v>
      </c>
      <c r="B21" s="24" t="s">
        <v>97</v>
      </c>
      <c r="C21" s="20" t="s">
        <v>327</v>
      </c>
      <c r="D21" s="21" t="s">
        <v>328</v>
      </c>
      <c r="E21" s="20" t="s">
        <v>36</v>
      </c>
      <c r="F21" s="20" t="s">
        <v>329</v>
      </c>
      <c r="G21" s="20" t="s">
        <v>330</v>
      </c>
      <c r="H21" s="22"/>
      <c r="I21" s="23"/>
      <c r="J21" s="22"/>
      <c r="K21" s="23"/>
    </row>
    <row r="22" ht="68" customHeight="1" spans="1:11" x14ac:dyDescent="0.25">
      <c r="A22" s="27" t="s">
        <v>331</v>
      </c>
      <c r="B22" s="19" t="s">
        <v>86</v>
      </c>
      <c r="C22" s="20" t="s">
        <v>327</v>
      </c>
      <c r="D22" s="21" t="s">
        <v>332</v>
      </c>
      <c r="E22" s="20" t="s">
        <v>314</v>
      </c>
      <c r="F22" s="20" t="s">
        <v>333</v>
      </c>
      <c r="G22" s="20" t="s">
        <v>334</v>
      </c>
      <c r="H22" s="22"/>
      <c r="I22" s="23"/>
      <c r="J22" s="22"/>
      <c r="K22" s="23"/>
    </row>
    <row r="23" ht="53" customHeight="1" spans="1:11" x14ac:dyDescent="0.25">
      <c r="A23" s="27" t="s">
        <v>335</v>
      </c>
      <c r="B23" s="24" t="s">
        <v>97</v>
      </c>
      <c r="C23" s="20" t="s">
        <v>327</v>
      </c>
      <c r="D23" s="21" t="s">
        <v>336</v>
      </c>
      <c r="E23" s="20" t="s">
        <v>314</v>
      </c>
      <c r="F23" s="20" t="s">
        <v>337</v>
      </c>
      <c r="G23" s="20" t="s">
        <v>338</v>
      </c>
      <c r="H23" s="22"/>
      <c r="I23" s="23"/>
      <c r="J23" s="22"/>
      <c r="K23" s="23"/>
    </row>
    <row r="24" ht="38" customHeight="1" spans="1:11" x14ac:dyDescent="0.25">
      <c r="A24" s="27" t="s">
        <v>339</v>
      </c>
      <c r="B24" s="19" t="s">
        <v>86</v>
      </c>
      <c r="C24" s="20" t="s">
        <v>327</v>
      </c>
      <c r="D24" s="21" t="s">
        <v>340</v>
      </c>
      <c r="E24" s="20" t="s">
        <v>36</v>
      </c>
      <c r="F24" s="20" t="s">
        <v>341</v>
      </c>
      <c r="G24" s="20" t="s">
        <v>342</v>
      </c>
      <c r="H24" s="22"/>
      <c r="I24" s="23"/>
      <c r="J24" s="22"/>
      <c r="K24" s="23"/>
    </row>
    <row r="25" ht="24" customHeight="1" spans="1:11" x14ac:dyDescent="0.25">
      <c r="A25" s="26" t="s">
        <v>343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</row>
    <row r="26" ht="53" customHeight="1" spans="1:11" x14ac:dyDescent="0.25">
      <c r="A26" s="27" t="s">
        <v>344</v>
      </c>
      <c r="B26" s="19" t="s">
        <v>86</v>
      </c>
      <c r="C26" s="20" t="s">
        <v>345</v>
      </c>
      <c r="D26" s="21" t="s">
        <v>346</v>
      </c>
      <c r="E26" s="20" t="s">
        <v>36</v>
      </c>
      <c r="F26" s="20" t="s">
        <v>347</v>
      </c>
      <c r="G26" s="20" t="s">
        <v>348</v>
      </c>
      <c r="H26" s="22"/>
      <c r="I26" s="23"/>
      <c r="J26" s="22"/>
      <c r="K26" s="23"/>
    </row>
    <row r="27" ht="53" customHeight="1" spans="1:11" x14ac:dyDescent="0.25">
      <c r="A27" s="27" t="s">
        <v>349</v>
      </c>
      <c r="B27" s="19" t="s">
        <v>86</v>
      </c>
      <c r="C27" s="20" t="s">
        <v>345</v>
      </c>
      <c r="D27" s="21" t="s">
        <v>350</v>
      </c>
      <c r="E27" s="20" t="s">
        <v>36</v>
      </c>
      <c r="F27" s="20" t="s">
        <v>351</v>
      </c>
      <c r="G27" s="20" t="s">
        <v>352</v>
      </c>
      <c r="H27" s="22"/>
      <c r="I27" s="23"/>
      <c r="J27" s="22"/>
      <c r="K27" s="23"/>
    </row>
    <row r="28" ht="68" customHeight="1" spans="1:11" x14ac:dyDescent="0.25">
      <c r="A28" s="27" t="s">
        <v>353</v>
      </c>
      <c r="B28" s="19" t="s">
        <v>86</v>
      </c>
      <c r="C28" s="20" t="s">
        <v>345</v>
      </c>
      <c r="D28" s="21" t="s">
        <v>354</v>
      </c>
      <c r="E28" s="20" t="s">
        <v>36</v>
      </c>
      <c r="F28" s="20" t="s">
        <v>355</v>
      </c>
      <c r="G28" s="20" t="s">
        <v>356</v>
      </c>
      <c r="H28" s="22"/>
      <c r="I28" s="23"/>
      <c r="J28" s="22"/>
      <c r="K28" s="23"/>
    </row>
    <row r="29" ht="68" customHeight="1" spans="1:11" x14ac:dyDescent="0.25">
      <c r="A29" s="27" t="s">
        <v>357</v>
      </c>
      <c r="B29" s="19" t="s">
        <v>86</v>
      </c>
      <c r="C29" s="20" t="s">
        <v>345</v>
      </c>
      <c r="D29" s="21" t="s">
        <v>358</v>
      </c>
      <c r="E29" s="20" t="s">
        <v>314</v>
      </c>
      <c r="F29" s="20" t="s">
        <v>359</v>
      </c>
      <c r="G29" s="20" t="s">
        <v>360</v>
      </c>
      <c r="H29" s="22"/>
      <c r="I29" s="23"/>
      <c r="J29" s="22"/>
      <c r="K29" s="23"/>
    </row>
    <row r="30" ht="38" customHeight="1" spans="1:11" x14ac:dyDescent="0.25">
      <c r="A30" s="27" t="s">
        <v>361</v>
      </c>
      <c r="B30" s="19" t="s">
        <v>86</v>
      </c>
      <c r="C30" s="20" t="s">
        <v>345</v>
      </c>
      <c r="D30" s="21" t="s">
        <v>362</v>
      </c>
      <c r="E30" s="20" t="s">
        <v>36</v>
      </c>
      <c r="F30" s="20" t="s">
        <v>363</v>
      </c>
      <c r="G30" s="20" t="s">
        <v>364</v>
      </c>
      <c r="H30" s="22"/>
      <c r="I30" s="23"/>
      <c r="J30" s="22"/>
      <c r="K30" s="23"/>
    </row>
    <row r="31" ht="38" customHeight="1" spans="1:11" x14ac:dyDescent="0.25">
      <c r="A31" s="27" t="s">
        <v>365</v>
      </c>
      <c r="B31" s="19" t="s">
        <v>86</v>
      </c>
      <c r="C31" s="20" t="s">
        <v>345</v>
      </c>
      <c r="D31" s="21" t="s">
        <v>366</v>
      </c>
      <c r="E31" s="20" t="s">
        <v>36</v>
      </c>
      <c r="F31" s="20" t="s">
        <v>367</v>
      </c>
      <c r="G31" s="20" t="s">
        <v>368</v>
      </c>
      <c r="H31" s="22"/>
      <c r="I31" s="23"/>
      <c r="J31" s="22"/>
      <c r="K31" s="23"/>
    </row>
    <row r="32" ht="53" customHeight="1" spans="1:11" x14ac:dyDescent="0.25">
      <c r="A32" s="27" t="s">
        <v>369</v>
      </c>
      <c r="B32" s="19" t="s">
        <v>86</v>
      </c>
      <c r="C32" s="20" t="s">
        <v>345</v>
      </c>
      <c r="D32" s="21" t="s">
        <v>370</v>
      </c>
      <c r="E32" s="20" t="s">
        <v>36</v>
      </c>
      <c r="F32" s="20" t="s">
        <v>371</v>
      </c>
      <c r="G32" s="20" t="s">
        <v>372</v>
      </c>
      <c r="H32" s="22"/>
      <c r="I32" s="23"/>
      <c r="J32" s="22"/>
      <c r="K32" s="23"/>
    </row>
    <row r="33" ht="38" customHeight="1" spans="1:11" x14ac:dyDescent="0.25">
      <c r="A33" s="27" t="s">
        <v>373</v>
      </c>
      <c r="B33" s="24" t="s">
        <v>97</v>
      </c>
      <c r="C33" s="20" t="s">
        <v>345</v>
      </c>
      <c r="D33" s="21" t="s">
        <v>374</v>
      </c>
      <c r="E33" s="20" t="s">
        <v>36</v>
      </c>
      <c r="F33" s="20" t="s">
        <v>375</v>
      </c>
      <c r="G33" s="20" t="s">
        <v>376</v>
      </c>
      <c r="H33" s="22"/>
      <c r="I33" s="23"/>
      <c r="J33" s="22"/>
      <c r="K33" s="23"/>
    </row>
    <row r="34" ht="38" customHeight="1" spans="1:11" x14ac:dyDescent="0.25">
      <c r="A34" s="27" t="s">
        <v>377</v>
      </c>
      <c r="B34" s="19" t="s">
        <v>86</v>
      </c>
      <c r="C34" s="20" t="s">
        <v>345</v>
      </c>
      <c r="D34" s="21" t="s">
        <v>378</v>
      </c>
      <c r="E34" s="20" t="s">
        <v>36</v>
      </c>
      <c r="F34" s="20" t="s">
        <v>379</v>
      </c>
      <c r="G34" s="20" t="s">
        <v>380</v>
      </c>
      <c r="H34" s="22"/>
      <c r="I34" s="23"/>
      <c r="J34" s="22"/>
      <c r="K34" s="23"/>
    </row>
    <row r="35" ht="24" customHeight="1" spans="1:11" x14ac:dyDescent="0.25">
      <c r="A35" s="26" t="s">
        <v>381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</row>
    <row r="36" ht="68" customHeight="1" spans="1:11" x14ac:dyDescent="0.25">
      <c r="A36" s="27" t="s">
        <v>382</v>
      </c>
      <c r="B36" s="19" t="s">
        <v>86</v>
      </c>
      <c r="C36" s="20" t="s">
        <v>383</v>
      </c>
      <c r="D36" s="21" t="s">
        <v>384</v>
      </c>
      <c r="E36" s="20" t="s">
        <v>36</v>
      </c>
      <c r="F36" s="20" t="s">
        <v>385</v>
      </c>
      <c r="G36" s="20" t="s">
        <v>386</v>
      </c>
      <c r="H36" s="22"/>
      <c r="I36" s="23"/>
      <c r="J36" s="22"/>
      <c r="K36" s="23"/>
    </row>
    <row r="37" ht="53" customHeight="1" spans="1:11" x14ac:dyDescent="0.25">
      <c r="A37" s="27" t="s">
        <v>387</v>
      </c>
      <c r="B37" s="19" t="s">
        <v>86</v>
      </c>
      <c r="C37" s="20" t="s">
        <v>383</v>
      </c>
      <c r="D37" s="21" t="s">
        <v>388</v>
      </c>
      <c r="E37" s="20" t="s">
        <v>36</v>
      </c>
      <c r="F37" s="20" t="s">
        <v>389</v>
      </c>
      <c r="G37" s="20" t="s">
        <v>390</v>
      </c>
      <c r="H37" s="22"/>
      <c r="I37" s="23"/>
      <c r="J37" s="22"/>
      <c r="K37" s="23"/>
    </row>
    <row r="38" ht="24" customHeight="1" spans="1:11" x14ac:dyDescent="0.25">
      <c r="A38" s="26" t="s">
        <v>391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 ht="38" customHeight="1" spans="1:11" x14ac:dyDescent="0.25">
      <c r="A39" s="27" t="s">
        <v>392</v>
      </c>
      <c r="B39" s="19" t="s">
        <v>86</v>
      </c>
      <c r="C39" s="20" t="s">
        <v>393</v>
      </c>
      <c r="D39" s="21" t="s">
        <v>394</v>
      </c>
      <c r="E39" s="20" t="s">
        <v>36</v>
      </c>
      <c r="F39" s="20" t="s">
        <v>395</v>
      </c>
      <c r="G39" s="20" t="s">
        <v>396</v>
      </c>
      <c r="H39" s="22"/>
      <c r="I39" s="23"/>
      <c r="J39" s="22"/>
      <c r="K39" s="23"/>
    </row>
    <row r="40" ht="53" customHeight="1" spans="1:11" x14ac:dyDescent="0.25">
      <c r="A40" s="27" t="s">
        <v>397</v>
      </c>
      <c r="B40" s="19" t="s">
        <v>86</v>
      </c>
      <c r="C40" s="20" t="s">
        <v>393</v>
      </c>
      <c r="D40" s="21" t="s">
        <v>398</v>
      </c>
      <c r="E40" s="20" t="s">
        <v>399</v>
      </c>
      <c r="F40" s="20" t="s">
        <v>400</v>
      </c>
      <c r="G40" s="20" t="s">
        <v>401</v>
      </c>
      <c r="H40" s="22"/>
      <c r="I40" s="23"/>
      <c r="J40" s="22"/>
      <c r="K40" s="23"/>
    </row>
  </sheetData>
  <autoFilter ref="A5:K40"/>
  <mergeCells count="10">
    <mergeCell ref="A1:K1"/>
    <mergeCell ref="A2:K2"/>
    <mergeCell ref="H3:I3"/>
    <mergeCell ref="J3:K3"/>
    <mergeCell ref="A6:K6"/>
    <mergeCell ref="A14:K14"/>
    <mergeCell ref="A20:K20"/>
    <mergeCell ref="A25:K25"/>
    <mergeCell ref="A35:K35"/>
    <mergeCell ref="A38:K38"/>
  </mergeCells>
  <conditionalFormatting sqref="H6:H40">
    <cfRule type="containsText" dxfId="8" priority="1">
      <formula>NOT(ISERROR(SEARCH("NON OK",H6)))</formula>
    </cfRule>
    <cfRule type="containsText" dxfId="9" priority="2">
      <formula>NOT(ISERROR(SEARCH("NON PROVATO",H6)))</formula>
    </cfRule>
    <cfRule type="containsText" dxfId="10" priority="3">
      <formula>NOT(ISERROR(SEARCH("BLOCCATO",H6)))</formula>
    </cfRule>
    <cfRule type="cellIs" dxfId="11" priority="4" operator="equal">
      <formula>"OK"</formula>
    </cfRule>
  </conditionalFormatting>
  <conditionalFormatting sqref="J6:J40">
    <cfRule type="containsText" dxfId="12" priority="1">
      <formula>NOT(ISERROR(SEARCH("NON OK",J6)))</formula>
    </cfRule>
    <cfRule type="containsText" dxfId="13" priority="2">
      <formula>NOT(ISERROR(SEARCH("NON PROVATO",J6)))</formula>
    </cfRule>
    <cfRule type="containsText" dxfId="14" priority="3">
      <formula>NOT(ISERROR(SEARCH("BLOCCATO",J6)))</formula>
    </cfRule>
    <cfRule type="cellIs" dxfId="15" priority="4" operator="equal">
      <formula>"OK"</formula>
    </cfRule>
  </conditionalFormatting>
  <dataValidations count="14">
    <dataValidation type="list" allowBlank="1" showErrorMessage="1" errorTitle="Esito" error="Scegli dal menu: OK, NON OK, BLOCCATO, NON PROVATO" sqref="H10:H13">
      <formula1>"OK,NON OK,BLOCCATO,NON PROVATO"</formula1>
    </dataValidation>
    <dataValidation type="list" allowBlank="1" showErrorMessage="1" errorTitle="Esito" error="Scegli dal menu: OK, NON OK, BLOCCATO, NON PROVATO" sqref="H15:H19">
      <formula1>"OK,NON OK,BLOCCATO,NON PROVATO"</formula1>
    </dataValidation>
    <dataValidation type="list" allowBlank="1" showErrorMessage="1" errorTitle="Esito" error="Scegli dal menu: OK, NON OK, BLOCCATO, NON PROVATO" sqref="H21:H24">
      <formula1>"OK,NON OK,BLOCCATO,NON PROVATO"</formula1>
    </dataValidation>
    <dataValidation type="list" allowBlank="1" showErrorMessage="1" errorTitle="Esito" error="Scegli dal menu: OK, NON OK, BLOCCATO, NON PROVATO" sqref="H26:H34">
      <formula1>"OK,NON OK,BLOCCATO,NON PROVATO"</formula1>
    </dataValidation>
    <dataValidation type="list" allowBlank="1" showErrorMessage="1" errorTitle="Esito" error="Scegli dal menu: OK, NON OK, BLOCCATO, NON PROVATO" sqref="H36:H37">
      <formula1>"OK,NON OK,BLOCCATO,NON PROVATO"</formula1>
    </dataValidation>
    <dataValidation type="list" allowBlank="1" showErrorMessage="1" errorTitle="Esito" error="Scegli dal menu: OK, NON OK, BLOCCATO, NON PROVATO" sqref="H39:H40">
      <formula1>"OK,NON OK,BLOCCATO,NON PROVATO"</formula1>
    </dataValidation>
    <dataValidation type="list" allowBlank="1" showErrorMessage="1" errorTitle="Esito" error="Scegli dal menu: OK, NON OK, BLOCCATO, NON PROVATO" sqref="H7:H13">
      <formula1>"OK,NON OK,BLOCCATO,NON PROVATO"</formula1>
    </dataValidation>
    <dataValidation type="list" allowBlank="1" showErrorMessage="1" errorTitle="Esito" error="Scegli dal menu: OK, NON OK, BLOCCATO, NON PROVATO" sqref="J10:J13">
      <formula1>"OK,NON OK,BLOCCATO,NON PROVATO"</formula1>
    </dataValidation>
    <dataValidation type="list" allowBlank="1" showErrorMessage="1" errorTitle="Esito" error="Scegli dal menu: OK, NON OK, BLOCCATO, NON PROVATO" sqref="J15:J19">
      <formula1>"OK,NON OK,BLOCCATO,NON PROVATO"</formula1>
    </dataValidation>
    <dataValidation type="list" allowBlank="1" showErrorMessage="1" errorTitle="Esito" error="Scegli dal menu: OK, NON OK, BLOCCATO, NON PROVATO" sqref="J21:J24">
      <formula1>"OK,NON OK,BLOCCATO,NON PROVATO"</formula1>
    </dataValidation>
    <dataValidation type="list" allowBlank="1" showErrorMessage="1" errorTitle="Esito" error="Scegli dal menu: OK, NON OK, BLOCCATO, NON PROVATO" sqref="J26:J34">
      <formula1>"OK,NON OK,BLOCCATO,NON PROVATO"</formula1>
    </dataValidation>
    <dataValidation type="list" allowBlank="1" showErrorMessage="1" errorTitle="Esito" error="Scegli dal menu: OK, NON OK, BLOCCATO, NON PROVATO" sqref="J36:J37">
      <formula1>"OK,NON OK,BLOCCATO,NON PROVATO"</formula1>
    </dataValidation>
    <dataValidation type="list" allowBlank="1" showErrorMessage="1" errorTitle="Esito" error="Scegli dal menu: OK, NON OK, BLOCCATO, NON PROVATO" sqref="J39:J40">
      <formula1>"OK,NON OK,BLOCCATO,NON PROVATO"</formula1>
    </dataValidation>
    <dataValidation type="list" allowBlank="1" showErrorMessage="1" errorTitle="Esito" error="Scegli dal menu: OK, NON OK, BLOCCATO, NON PROVATO" sqref="J7:J13">
      <formula1>"OK,NON OK,BLOCCATO,NON PROVATO"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2" customWidth="1"/>
    <col min="3" max="8" width="14" customWidth="1"/>
  </cols>
  <sheetData>
    <row r="1" ht="36" customHeight="1" spans="1:8" x14ac:dyDescent="0.25">
      <c r="A1" s="28" t="s">
        <v>402</v>
      </c>
      <c r="B1" s="28"/>
      <c r="C1" s="28"/>
      <c r="D1" s="28"/>
      <c r="E1" s="28"/>
      <c r="F1" s="28"/>
      <c r="G1" s="28"/>
      <c r="H1" s="28"/>
    </row>
    <row r="3" spans="2:8" x14ac:dyDescent="0.25">
      <c r="B3" s="29" t="s">
        <v>403</v>
      </c>
      <c r="C3" s="29"/>
      <c r="D3" s="29"/>
      <c r="E3" s="29"/>
      <c r="F3" s="29"/>
      <c r="G3" s="29"/>
      <c r="H3" s="29"/>
    </row>
    <row r="4" spans="2:8" x14ac:dyDescent="0.25">
      <c r="B4" s="30" t="s">
        <v>404</v>
      </c>
      <c r="C4" s="30" t="s">
        <v>405</v>
      </c>
      <c r="D4" s="30" t="s">
        <v>406</v>
      </c>
      <c r="E4" s="30" t="s">
        <v>407</v>
      </c>
      <c r="F4" s="30" t="s">
        <v>408</v>
      </c>
      <c r="G4" s="30" t="s">
        <v>409</v>
      </c>
      <c r="H4" s="30" t="s">
        <v>410</v>
      </c>
    </row>
    <row r="5" spans="2:8" x14ac:dyDescent="0.25">
      <c r="B5" s="31" t="s">
        <v>411</v>
      </c>
      <c r="C5" s="32">
        <f>COUNTIF('Socio'!A6:A51,"?-??")</f>
        <v>40</v>
      </c>
      <c r="D5" s="33">
        <f>COUNTIF('Socio'!H6:H51,"OK")</f>
      </c>
      <c r="E5" s="34">
        <f>COUNTIF('Socio'!H6:H51,"NON OK")</f>
      </c>
      <c r="F5" s="32">
        <f>COUNTIF('Socio'!H6:H51,"BLOCCATO")</f>
      </c>
      <c r="G5" s="32">
        <f>COUNTIF('Socio'!H6:H51,"NON PROVATO")</f>
      </c>
      <c r="H5" s="32">
        <f>C5-SUM(D5:G5)</f>
      </c>
    </row>
    <row r="6" spans="2:8" x14ac:dyDescent="0.25">
      <c r="B6" s="31" t="s">
        <v>36</v>
      </c>
      <c r="C6" s="32">
        <f>COUNTIF('Admin'!A6:A40,"?-??")</f>
        <v>29</v>
      </c>
      <c r="D6" s="33">
        <f>COUNTIF('Admin'!H6:H40,"OK")</f>
      </c>
      <c r="E6" s="34">
        <f>COUNTIF('Admin'!H6:H40,"NON OK")</f>
      </c>
      <c r="F6" s="32">
        <f>COUNTIF('Admin'!H6:H40,"BLOCCATO")</f>
      </c>
      <c r="G6" s="32">
        <f>COUNTIF('Admin'!H6:H40,"NON PROVATO")</f>
      </c>
      <c r="H6" s="32">
        <f>C6-SUM(D6:G6)</f>
      </c>
    </row>
    <row r="7" spans="2:8" x14ac:dyDescent="0.25">
      <c r="B7" s="35" t="s">
        <v>412</v>
      </c>
      <c r="C7" s="36">
        <f>SUM(C5:C6)</f>
      </c>
      <c r="D7" s="36">
        <f>SUM(D5:D6)</f>
      </c>
      <c r="E7" s="36">
        <f>SUM(E5:E6)</f>
      </c>
      <c r="F7" s="36">
        <f>SUM(F5:F6)</f>
      </c>
      <c r="G7" s="36">
        <f>SUM(G5:G6)</f>
      </c>
      <c r="H7" s="36">
        <f>SUM(H5:H6)</f>
      </c>
    </row>
    <row r="10" spans="2:8" x14ac:dyDescent="0.25">
      <c r="B10" s="29" t="s">
        <v>413</v>
      </c>
      <c r="C10" s="29"/>
      <c r="D10" s="29"/>
      <c r="E10" s="29"/>
      <c r="F10" s="29"/>
      <c r="G10" s="29"/>
      <c r="H10" s="29"/>
    </row>
    <row r="11" spans="2:8" x14ac:dyDescent="0.25">
      <c r="B11" s="30" t="s">
        <v>404</v>
      </c>
      <c r="C11" s="30" t="s">
        <v>405</v>
      </c>
      <c r="D11" s="30" t="s">
        <v>406</v>
      </c>
      <c r="E11" s="30" t="s">
        <v>407</v>
      </c>
      <c r="F11" s="30" t="s">
        <v>408</v>
      </c>
      <c r="G11" s="30" t="s">
        <v>409</v>
      </c>
      <c r="H11" s="30" t="s">
        <v>410</v>
      </c>
    </row>
    <row r="12" spans="2:8" x14ac:dyDescent="0.25">
      <c r="B12" s="31" t="s">
        <v>411</v>
      </c>
      <c r="C12" s="32">
        <f>COUNTIF('Socio'!A6:A51,"?-??")</f>
        <v>40</v>
      </c>
      <c r="D12" s="33">
        <f>COUNTIF('Socio'!J6:J51,"OK")</f>
      </c>
      <c r="E12" s="34">
        <f>COUNTIF('Socio'!J6:J51,"NON OK")</f>
      </c>
      <c r="F12" s="32">
        <f>COUNTIF('Socio'!J6:J51,"BLOCCATO")</f>
      </c>
      <c r="G12" s="32">
        <f>COUNTIF('Socio'!J6:J51,"NON PROVATO")</f>
      </c>
      <c r="H12" s="32">
        <f>C12-SUM(D12:G12)</f>
      </c>
    </row>
    <row r="13" spans="2:8" x14ac:dyDescent="0.25">
      <c r="B13" s="31" t="s">
        <v>36</v>
      </c>
      <c r="C13" s="32">
        <f>COUNTIF('Admin'!A6:A40,"?-??")</f>
        <v>29</v>
      </c>
      <c r="D13" s="33">
        <f>COUNTIF('Admin'!J6:J40,"OK")</f>
      </c>
      <c r="E13" s="34">
        <f>COUNTIF('Admin'!J6:J40,"NON OK")</f>
      </c>
      <c r="F13" s="32">
        <f>COUNTIF('Admin'!J6:J40,"BLOCCATO")</f>
      </c>
      <c r="G13" s="32">
        <f>COUNTIF('Admin'!J6:J40,"NON PROVATO")</f>
      </c>
      <c r="H13" s="32">
        <f>C13-SUM(D13:G13)</f>
      </c>
    </row>
    <row r="14" spans="2:8" x14ac:dyDescent="0.25">
      <c r="B14" s="35" t="s">
        <v>412</v>
      </c>
      <c r="C14" s="36">
        <f>SUM(C12:C13)</f>
      </c>
      <c r="D14" s="36">
        <f>SUM(D12:D13)</f>
      </c>
      <c r="E14" s="36">
        <f>SUM(E12:E13)</f>
      </c>
      <c r="F14" s="36">
        <f>SUM(F12:F13)</f>
      </c>
      <c r="G14" s="36">
        <f>SUM(G12:G13)</f>
      </c>
      <c r="H14" s="36">
        <f>SUM(H12:H13)</f>
      </c>
    </row>
    <row r="17" ht="32" customHeight="1" spans="2:8" x14ac:dyDescent="0.25">
      <c r="B17" s="37" t="s">
        <v>414</v>
      </c>
      <c r="C17" s="37"/>
      <c r="D17" s="37"/>
      <c r="E17" s="37"/>
      <c r="F17" s="37"/>
      <c r="G17" s="37"/>
      <c r="H17" s="37"/>
    </row>
  </sheetData>
  <mergeCells count="4">
    <mergeCell ref="A1:H1"/>
    <mergeCell ref="B3:H3"/>
    <mergeCell ref="B10:H10"/>
    <mergeCell ref="B17:H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Leggimi</vt:lpstr>
      <vt:lpstr>Socio</vt:lpstr>
      <vt:lpstr>Admin</vt:lpstr>
      <vt:lpstr>Riepilogo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 Tennis Club Monti della Tolfa</dc:creator>
  <dc:title/>
  <dc:subject/>
  <dc:description/>
  <cp:keywords/>
  <cp:category/>
  <cp:lastModifiedBy>Unknown</cp:lastModifiedBy>
  <dcterms:created xsi:type="dcterms:W3CDTF">2026-09-24T12:37:31Z</dcterms:created>
  <dcterms:modified xsi:type="dcterms:W3CDTF">2026-09-24T12:37:31Z</dcterms:modified>
</cp:coreProperties>
</file>